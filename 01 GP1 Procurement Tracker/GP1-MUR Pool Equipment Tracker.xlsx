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racker" sheetId="2" r:id="rId5"/>
    <sheet state="visible" name="Status Legend" sheetId="3" r:id="rId6"/>
    <sheet state="visible" name="Rationales" sheetId="4" r:id="rId7"/>
    <sheet state="visible" name="Scope Exclusions" sheetId="5" r:id="rId8"/>
  </sheets>
  <definedNames/>
  <calcPr/>
  <extLst>
    <ext uri="GoogleSheetsCustomDataVersion2">
      <go:sheetsCustomData xmlns:go="http://customooxmlschemas.google.com/" r:id="rId9" roundtripDataChecksum="9yzPl1xrBcUbDrO4BQgf0ND/NfBXprl7Kv+5XLJcekk="/>
    </ext>
  </extLst>
</workbook>
</file>

<file path=xl/sharedStrings.xml><?xml version="1.0" encoding="utf-8"?>
<sst xmlns="http://schemas.openxmlformats.org/spreadsheetml/2006/main" count="270" uniqueCount="223">
  <si>
    <t>Section</t>
  </si>
  <si>
    <t>Ref</t>
  </si>
  <si>
    <t>Rows</t>
  </si>
  <si>
    <t>OK</t>
  </si>
  <si>
    <t>Status</t>
  </si>
  <si>
    <t>Topic</t>
  </si>
  <si>
    <t>SUB</t>
  </si>
  <si>
    <t>ADD</t>
  </si>
  <si>
    <t>Rationale</t>
  </si>
  <si>
    <t>Meaning</t>
  </si>
  <si>
    <t>#</t>
  </si>
  <si>
    <t>CLARIF</t>
  </si>
  <si>
    <t>R1</t>
  </si>
  <si>
    <t>TBR</t>
  </si>
  <si>
    <t>Item</t>
  </si>
  <si>
    <t>A. Pump Room Equipment</t>
  </si>
  <si>
    <t>Salt chlorinator (DIG-220 to IntelliChlor LT15)</t>
  </si>
  <si>
    <t>Model</t>
  </si>
  <si>
    <t>DIG-220 discontinued by AutoPilot. IntelliChlor LT15 sized for pools up to 15,000 gal, integrates with IntelliCenter, single-brand Pentair stack.</t>
  </si>
  <si>
    <t>Qty</t>
  </si>
  <si>
    <t>As Drawn</t>
  </si>
  <si>
    <t>R3</t>
  </si>
  <si>
    <t>Submitted for Approval</t>
  </si>
  <si>
    <t>Heat pump (SQ225 to Gulfstream HE-150)</t>
  </si>
  <si>
    <t>Submitted as drawn</t>
  </si>
  <si>
    <t>Datasheet Ref.</t>
  </si>
  <si>
    <t>SQ225 is a disconntinued Aquacal product. Gulfstream HE-150 submitted because Gulfstream is Pentair-owned: keeps the whole pump room (pumps, filter, chlorinator, controller, heater, lights) inside one Pentair warranty channel and one distributor. Performance comparable: 142,000 vs 143,000 BTU, COP 6.2 vs 6.5. Lead-time and single-channel warranty are the drivers.</t>
  </si>
  <si>
    <t>Notes</t>
  </si>
  <si>
    <t>R4</t>
  </si>
  <si>
    <t>Pool lights (L&amp;L Bright family to Pentair IntelliVibe)</t>
  </si>
  <si>
    <t>Substitution proposed. See rationales R1, R3, R4</t>
  </si>
  <si>
    <t>IntelliVibe integrates with IntelliCenter; Pentair stock faster than L&amp;L import from Italy; standard 12 V niche and 1 in PVC conduit already on the Underwater Light Detail. Trade-offs for lighting designer: optical character changes (21 deg / 13 by 52 deg to approx. 120 deg), DALI architectural dimming lost, AISI 316L body replaced by composite resin. Body lights may need IntelliVibe Mezzo 24 W 3 in to preserve intensity.</t>
  </si>
  <si>
    <t>R6</t>
  </si>
  <si>
    <t>Waterstop product naming clarification</t>
  </si>
  <si>
    <t>GP1-SP-01 calls for 'FPK-40-302' on items 5 to 8. ASA does not make that part number. ASA's two product lines are PVC Waterstop Sleeve Fittings (PVC-40-300 to PVC-40-303, intended for pool shell return penetrations per ASA Typical Pool Installation) and FPK Fiberglass Waterstop Couplings (FPK-88-XXX Sch 40 or FPK-89-XXX Sch 80, intended for tanks and equipment rooms). Submitting items 5 to 8 with ASA PVC-40-302 at pool shell and ASA FPK-88-XXX at balancing tank. All ASA waterstops are solvent-weld, none are threaded.</t>
  </si>
  <si>
    <t>Proposed addition, not in as-drawn schedule. See rationale R5</t>
  </si>
  <si>
    <t>B. In-Pool Fittings</t>
  </si>
  <si>
    <t>Clarification requested (drawing reference does not match an actual OEM part). See rationale R6</t>
  </si>
  <si>
    <t>A1</t>
  </si>
  <si>
    <t>D. Pool Lighting</t>
  </si>
  <si>
    <t>To be resolved (qty or length pending pump room piping schematic or electrical engineer scope)</t>
  </si>
  <si>
    <t>Cartridge filter, 150 sq ft</t>
  </si>
  <si>
    <t>Pentair Clean and Clear Plus</t>
  </si>
  <si>
    <t>1</t>
  </si>
  <si>
    <t>Pentair CC150 (P/N 160317), 15-5/8 in dia</t>
  </si>
  <si>
    <t>As drawn</t>
  </si>
  <si>
    <t>F. Balancing Tank Accessories</t>
  </si>
  <si>
    <r>
      <rPr>
        <rFont val="Arial"/>
        <sz val="10.0"/>
      </rPr>
      <t xml:space="preserve">A2 - Clean and Clear CC150 Filter - </t>
    </r>
    <r>
      <rPr>
        <rFont val="Arial"/>
        <color rgb="FF1155CC"/>
        <sz val="10.0"/>
        <u/>
      </rPr>
      <t>https://www.pentair.com/content/dam/extranet/nam/pentair-pool/residential/filters/filter-web-pages/support-pages/pentair-clean-and-clear-cartridge-filter-brochure-2025.pdf#page=11</t>
    </r>
  </si>
  <si>
    <t>G. Piping and Valves</t>
  </si>
  <si>
    <t>H. Electrical (Pool Bonding)</t>
  </si>
  <si>
    <t>Total in scope</t>
  </si>
  <si>
    <t>GP1-SP-01 item 1</t>
  </si>
  <si>
    <t>A2</t>
  </si>
  <si>
    <t>Main filter pump</t>
  </si>
  <si>
    <t>Pentair IntelliFlo3 VSF</t>
  </si>
  <si>
    <t>45 GPM @ 70 ft head, 3 HP, 208-230 V 1 ph 60 Hz</t>
  </si>
  <si>
    <r>
      <rPr>
        <rFont val="Arial"/>
        <sz val="10.0"/>
      </rPr>
      <t xml:space="preserve">A1 - IntelliFlo3 VSF Pump - </t>
    </r>
    <r>
      <rPr>
        <rFont val="Arial"/>
        <color rgb="FF1155CC"/>
        <sz val="10.0"/>
        <u/>
      </rPr>
      <t>https://online.flippingbook.com/view/154564692/</t>
    </r>
  </si>
  <si>
    <t>GP1-SP-01 item 2</t>
  </si>
  <si>
    <t>A3</t>
  </si>
  <si>
    <t>Infinity edge pump</t>
  </si>
  <si>
    <t>90 GPM @ 50 ft head, 3 HP, 208-230/460 V 1 ph 60 Hz</t>
  </si>
  <si>
    <r>
      <rPr>
        <rFont val="Arial"/>
        <sz val="10.0"/>
      </rPr>
      <t xml:space="preserve">A1 - IntelliFlo3 VSF Pump - </t>
    </r>
    <r>
      <rPr>
        <rFont val="Arial"/>
        <color rgb="FF1155CC"/>
        <sz val="10.0"/>
        <u/>
      </rPr>
      <t>https://online.flippingbook.com/view/154564692/</t>
    </r>
  </si>
  <si>
    <t>GP1-SP-01 item 3</t>
  </si>
  <si>
    <t>A4</t>
  </si>
  <si>
    <t>Salt chlorine generator</t>
  </si>
  <si>
    <t>Pentair IntelliChlor LT25 Power Bundle</t>
  </si>
  <si>
    <t>1 set</t>
  </si>
  <si>
    <t>AutoPilot DIG-220, cell + manifold + controller</t>
  </si>
  <si>
    <t>Pentair IntelliChlor LT15 (P/N 523744). See R1</t>
  </si>
  <si>
    <r>
      <rPr>
        <rFont val="Arial"/>
        <sz val="10.0"/>
      </rPr>
      <t xml:space="preserve">A3 - IntelliChlor LT15 - </t>
    </r>
    <r>
      <rPr>
        <rFont val="Arial"/>
        <color rgb="FF1155CC"/>
        <sz val="10.0"/>
        <u/>
      </rPr>
      <t>https://online.flippingbook.com/view/1043537520/</t>
    </r>
  </si>
  <si>
    <t>GP1-SP-01 item 4. DIG-220 confirmed discontinued</t>
  </si>
  <si>
    <t>Category</t>
  </si>
  <si>
    <t>8700 Gallons pool LT15 is good for 15000 gallons</t>
  </si>
  <si>
    <t>A5</t>
  </si>
  <si>
    <t>Structural, concrete-fabricated, custom fabrication (by GC or metal fab)</t>
  </si>
  <si>
    <t>Pool controller</t>
  </si>
  <si>
    <t>Pentair IntelliCenter Lite i5P</t>
  </si>
  <si>
    <t>Balancing tank structure (cast-in-place concrete, 5 ft x 5 ft x 3 ft)</t>
  </si>
  <si>
    <t>Pentair IntelliCenter c/w power center, personality kit, timers, relays, breakers</t>
  </si>
  <si>
    <t>Pentair IntelliCenter Lite i5P (P/N 523911)</t>
  </si>
  <si>
    <t>Stainless steel cat ladder, Type 316 (fabricated to detail)</t>
  </si>
  <si>
    <r>
      <rPr>
        <rFont val="Arial"/>
        <sz val="10.0"/>
      </rPr>
      <t xml:space="preserve">A4 - IntelliCenter Lite 523911 - </t>
    </r>
    <r>
      <rPr>
        <rFont val="Arial"/>
        <color rgb="FF1155CC"/>
        <sz val="10.0"/>
        <u/>
      </rPr>
      <t>https://online.flippingbook.com/view/544733869/</t>
    </r>
  </si>
  <si>
    <t>6 in concrete equipment plinth (per general note 4)</t>
  </si>
  <si>
    <t>Architectural / interiors package (separate submittal)</t>
  </si>
  <si>
    <t>Pool coping, waterline tile, pool steps and nosing, infinity edge weir, deck-to-pool transition</t>
  </si>
  <si>
    <t>Electrical engineer scope (separate submittal)</t>
  </si>
  <si>
    <t>Power feeds for pumps, heater, chlorinator (per GP1-E2 panel schedule)</t>
  </si>
  <si>
    <t>Pool lighting circuit conductors and conduit sizing (per GP1-E1)</t>
  </si>
  <si>
    <t xml:space="preserve">GP1-SP-01 item 11. </t>
  </si>
  <si>
    <t>Pool light junction box / dry register location (coordinate with architecture per JN-GP1-LD5-03)</t>
  </si>
  <si>
    <t>Electrical panel schedule doe's not show a circuit for a control panel</t>
  </si>
  <si>
    <t>A6</t>
  </si>
  <si>
    <t>Pool heat pump</t>
  </si>
  <si>
    <t>Gulfstream HE-150</t>
  </si>
  <si>
    <t>Aquacal HeatWave SuperQuiet SQ225, 143,000 BTU @ 80/80/80, COP 6.5</t>
  </si>
  <si>
    <t>Gulfstream HE-150, 142,000 BTU @ 80/80/80, COP 6.2. See R3</t>
  </si>
  <si>
    <r>
      <rPr>
        <rFont val="Arial"/>
        <sz val="10.0"/>
      </rPr>
      <t xml:space="preserve">A5 - Gulfstream HE-150 Heat Pump - </t>
    </r>
    <r>
      <rPr>
        <rFont val="Arial"/>
        <color rgb="FF1155CC"/>
        <sz val="10.0"/>
        <u/>
      </rPr>
      <t>https://www.poolheatpumps.com/documents/brands/gulfstream/gulfstream-he150ra-spec-sheet-.pdf?srsltid=AfmBOorxwQSwYXeGjKTHLQUFj1asNGOiGF2S191rn0Ypm9F8lmgAVRVu</t>
    </r>
  </si>
  <si>
    <t>GP1-SP-01 item 12. AquaCal SQ225 is discontinued</t>
  </si>
  <si>
    <t>Better price</t>
  </si>
  <si>
    <t>B1</t>
  </si>
  <si>
    <t>Pool wall and infinity edge return inlets, 2 in</t>
  </si>
  <si>
    <t>Hayward SP1419GR (LIGHT GRAY)</t>
  </si>
  <si>
    <t>2 wall + 6 edge = 8 total</t>
  </si>
  <si>
    <t>Hayward SP1410</t>
  </si>
  <si>
    <t>SP1419GR (LIGHT GRAY)</t>
  </si>
  <si>
    <r>
      <rPr>
        <rFont val="Arial"/>
        <sz val="10.0"/>
      </rPr>
      <t xml:space="preserve">B1 - Hayward SP1419GR - </t>
    </r>
    <r>
      <rPr>
        <rFont val="Arial"/>
        <color rgb="FF1155CC"/>
        <sz val="10.0"/>
        <u/>
      </rPr>
      <t>https://static1.squarespace.com/static/6519e230af90b51759bda677/t/66cb857eb253041fc8392757/1724614014630/Hayward+Wall+Return+Fittings.pdf</t>
    </r>
  </si>
  <si>
    <t>GP1-SP-1</t>
  </si>
  <si>
    <t>B2</t>
  </si>
  <si>
    <t>Floor return inlet, 2 in</t>
  </si>
  <si>
    <t>Hayward SP1425</t>
  </si>
  <si>
    <t>Pebble Top PTFR-03 (LIGHT GRAY TRIM)</t>
  </si>
  <si>
    <r>
      <rPr>
        <rFont val="Arial"/>
        <sz val="10.0"/>
      </rPr>
      <t xml:space="preserve">Pebble Top PTFR-03 (LIGHT GRAY TRIM) - </t>
    </r>
    <r>
      <rPr>
        <rFont val="Arial"/>
        <color rgb="FF1155CC"/>
        <sz val="10.0"/>
        <u/>
      </rPr>
      <t>https://static1.squarespace.com/static/55257138e4b0c26feadbc8ce/t/5b2bf42eaa4a999d8cfc8e9e/1529607217692/Pebble+Top+Floor+Return+Brochure+email.pdf</t>
    </r>
  </si>
  <si>
    <t>GP1-SP-1 callout. Waterstop in B8</t>
  </si>
  <si>
    <t>B3</t>
  </si>
  <si>
    <t>Vacuum fitting, 2 in</t>
  </si>
  <si>
    <t>Hayward W400BLGP</t>
  </si>
  <si>
    <t>Hayward SP1022B</t>
  </si>
  <si>
    <t>W400BLGP (LIGHT GRAY)</t>
  </si>
  <si>
    <t>GP1-SP-1 callout 'FITTING VACUUM'. Waterstop in B8</t>
  </si>
  <si>
    <t>Cant't find a spec</t>
  </si>
  <si>
    <t>B4</t>
  </si>
  <si>
    <t>Main drain, 8 in dual suction (anti-entrapment)</t>
  </si>
  <si>
    <t>AVSC LIGHT GRAY</t>
  </si>
  <si>
    <t>Hayward WG1054PAK2</t>
  </si>
  <si>
    <t>AAM-AVSC-F02 - Pebble top Light Gray P/N 289102</t>
  </si>
  <si>
    <r>
      <rPr>
        <rFont val="Arial"/>
        <sz val="10.0"/>
      </rPr>
      <t xml:space="preserve">B4 - </t>
    </r>
    <r>
      <rPr>
        <rFont val="Arial"/>
        <color rgb="FF1155CC"/>
        <sz val="10.0"/>
        <u/>
      </rPr>
      <t>https://www.pentair.com/content/dam/extranet/nam/pentair-pool/residential/in-floor-cleaning-and-circulation/avsc-heavy-debris-removal/user-docs/avsc-drain-install-and-user-guide.pdf</t>
    </r>
  </si>
  <si>
    <t>GP1-SP-1 Unblockebale and matching other light gray fittings</t>
  </si>
  <si>
    <t>To be reviewd</t>
  </si>
  <si>
    <t>B5</t>
  </si>
  <si>
    <t>Automatic water filler</t>
  </si>
  <si>
    <t>Pentair T40-F</t>
  </si>
  <si>
    <t>Pentair Model T-40 with isolation valve</t>
  </si>
  <si>
    <t>T40-F variant locked at procurement</t>
  </si>
  <si>
    <r>
      <rPr>
        <rFont val="Arial"/>
        <sz val="10.0"/>
      </rPr>
      <t xml:space="preserve">B6 - Pentair T-40 Automatic Water Filler - </t>
    </r>
    <r>
      <rPr>
        <rFont val="Arial"/>
        <color rgb="FF1155CC"/>
        <sz val="10.0"/>
        <u/>
      </rPr>
      <t>https://www.pentair.com/content/dam/extranet/nam/pentair-pool/residential/white-goods/auto-water-fillers/automatic-water-filler-brochure-english.pdf</t>
    </r>
  </si>
  <si>
    <t>GP1-SP-01 item 9. Drawing reads 'Model T-40'</t>
  </si>
  <si>
    <t>D1</t>
  </si>
  <si>
    <t>Pool light fixtures, submersible (step + body)</t>
  </si>
  <si>
    <t>Pentair IntelliVibe Micro 12 W 2 in (P/N 602280); Mezzo 24 W 3 in as upsize alternate for body</t>
  </si>
  <si>
    <t>8 step + 5 body = 13 per pool</t>
  </si>
  <si>
    <t>L&amp;L Bright 1.6 CW16005DI for steps (8) + DALI 30 W driver + WC5003 outer casing; L&amp;L Bright 3.0 CW300005WI for body (5) + DALI 60 W driver + WC5004 outer casing + WN7001 extractors. Per JN-GP1-LD5-03 L09 + L09.1.</t>
  </si>
  <si>
    <t>Pentair IntelliVibe Micro for steps; Micro or Mezzo for body. See R4</t>
  </si>
  <si>
    <r>
      <rPr>
        <rFont val="Arial"/>
        <sz val="10.0"/>
      </rPr>
      <t xml:space="preserve">D1 - Pentair IntelliVibe 602280 Pool Light, Steps and Body Fixtures - </t>
    </r>
    <r>
      <rPr>
        <rFont val="Arial"/>
        <color rgb="FF1155CC"/>
        <sz val="10.0"/>
        <u/>
      </rPr>
      <t>https://online.flippingbook.com/view/858239882/</t>
    </r>
  </si>
  <si>
    <t xml:space="preserve">LD2-02 zone 3.8. L&amp;L as-drawn datasheets in 01 Manuals and Other Info if SUB is rejected. Be advised that the light fixture is not UL or ETL listed which can lead to a failed eletrical inspection or to liabilty situations. </t>
  </si>
  <si>
    <t>F1</t>
  </si>
  <si>
    <t>Make-up float valve, 3/4 in NPT</t>
  </si>
  <si>
    <t>Robert Mfg BOB R400 brass</t>
  </si>
  <si>
    <t>3/4 in heavy-duty float valve at balancing tank</t>
  </si>
  <si>
    <t>Robert Mfg BOB R400, 3/4 in NPT, 21 GPM @ 35 PSI to 39.9 GPM @ 85 PSI free discharge</t>
  </si>
  <si>
    <r>
      <rPr>
        <rFont val="Arial"/>
        <sz val="10.0"/>
      </rPr>
      <t xml:space="preserve">F1 - Robert Mfg BOB R400 Brass Float Valve - </t>
    </r>
    <r>
      <rPr>
        <rFont val="Arial"/>
        <color rgb="FF1155CC"/>
        <sz val="10.0"/>
        <u/>
      </rPr>
      <t>https://www.cdivalve.com/files/upload/69/cd_r400_series_bob_float_valves_sales_sheet.pdf</t>
    </r>
    <r>
      <rPr>
        <rFont val="Arial"/>
        <sz val="10.0"/>
      </rPr>
      <t xml:space="preserve"> </t>
    </r>
  </si>
  <si>
    <t>Hayward does not make a matching product; BOB R400 is industry standard. Separate from B6 auto-filler. Confirm acceptable</t>
  </si>
  <si>
    <t>F2</t>
  </si>
  <si>
    <t>Foot valve</t>
  </si>
  <si>
    <t>Valveman Brass 2.5" in with strainer</t>
  </si>
  <si>
    <t>2.5" pipe</t>
  </si>
  <si>
    <t>Valveman Brass foot valve 2.5"</t>
  </si>
  <si>
    <r>
      <rPr>
        <rFont val="Arial"/>
        <sz val="10.0"/>
      </rPr>
      <t xml:space="preserve">F2 - Valveman Brass Foot Valves - </t>
    </r>
    <r>
      <rPr>
        <rFont val="Arial"/>
        <color rgb="FF1155CC"/>
        <sz val="10.0"/>
        <u/>
      </rPr>
      <t>https://valveman.com/content/specification-sheet-bonomi-100102-valveman.com.pdf</t>
    </r>
  </si>
  <si>
    <t>GP1-SP-01 balancing tank detail</t>
  </si>
  <si>
    <t>G1</t>
  </si>
  <si>
    <t>PVC ball valves</t>
  </si>
  <si>
    <t>Aquaram - Spanish high quality</t>
  </si>
  <si>
    <t>Per Equipment Schedule 'butterfly valves, gate valves, check valves, cabling and accessories. Spears or approved equal'</t>
  </si>
  <si>
    <t>Aquaram Valves</t>
  </si>
  <si>
    <r>
      <rPr>
        <rFont val="Arial"/>
        <sz val="10.0"/>
      </rPr>
      <t xml:space="preserve">G1 - Aquaram Valves - </t>
    </r>
    <r>
      <rPr>
        <rFont val="Arial"/>
        <color rgb="FF1155CC"/>
        <sz val="10.0"/>
        <u/>
      </rPr>
      <t>https://aquadepotinc.com/wp-content/uploads/FT-VALVULA-AQUARAM.pdf</t>
    </r>
  </si>
  <si>
    <t>Pump suction / discharge, filter, heater, chlorinator. Confirm with pump room piping schematic. Balancing valves in enclosure (actual location to determine)' per GP1-SP-1</t>
  </si>
  <si>
    <t>G2</t>
  </si>
  <si>
    <t>PVC check valves</t>
  </si>
  <si>
    <t>Jandy</t>
  </si>
  <si>
    <t>Same as G1</t>
  </si>
  <si>
    <t>Jandy Check Valves</t>
  </si>
  <si>
    <r>
      <rPr>
        <rFont val="Arial"/>
        <sz val="10.0"/>
      </rPr>
      <t xml:space="preserve">G2 - Jandy - </t>
    </r>
    <r>
      <rPr>
        <rFont val="Arial"/>
        <color rgb="FF1155CC"/>
        <sz val="10.0"/>
        <u/>
      </rPr>
      <t>https://cdn.fluidrausa.com/-/media/zodiac/global/downloads/jandy/valves/h0292100.pdf?rev=0eb4947fbef74594a2907a00fdf31b57?force=1</t>
    </r>
  </si>
  <si>
    <t>G3</t>
  </si>
  <si>
    <t>PVC pipe and Sch 40 fittings (all sizes)</t>
  </si>
  <si>
    <t>Spears Sch 40 PVC pipe and fitting family</t>
  </si>
  <si>
    <t>per piping take-off (length and qty per pump room schematic)</t>
  </si>
  <si>
    <t>Per Equipment Schedule item 10. Sizes: 0.75 in make-up water pipe, 2 in main return, 2.5 in infinity edge main return, plus generic elbows, tees, reducers, unions</t>
  </si>
  <si>
    <t>G5 - Spears Schedule 40 PVC Pipe and Fittings (All Sizes) - Brochure</t>
  </si>
  <si>
    <t>Replaces former G5 to G8 split (all same Spears catalog)</t>
  </si>
  <si>
    <t>To be removed</t>
  </si>
  <si>
    <t>H1</t>
  </si>
  <si>
    <t>Pool equipotential bonding system per NEC 680</t>
  </si>
  <si>
    <t>#8 AWG solid bare copper + Burndy KA-Lug compression lugs + Burndy BWB680IG in-ground pool bond kit</t>
  </si>
  <si>
    <t>1 perimeter bond loop + lugs per metallic element + 1 in-ground kit per pool (qty TBR per GP1-E3)</t>
  </si>
  <si>
    <t>NEC 680, equipotential bonding grid around perimeter and to all metallic parts</t>
  </si>
  <si>
    <t>As drawn (commodity #8 AWG bare copper + Burndy KA-Lug + BWB680IG kit)</t>
  </si>
  <si>
    <t>H1 - Burndy Pool Bonding System (Conductor + KA-Lug + BWB680IG Kit) - Catalog</t>
  </si>
  <si>
    <t>Per GP1-E3 pool bonding layout. Replaces former H1 + H2 (same Burndy catalog)</t>
  </si>
  <si>
    <t>To be transfered to the electrical details</t>
  </si>
  <si>
    <t>J. Plumbing</t>
  </si>
  <si>
    <t>J1</t>
  </si>
  <si>
    <t xml:space="preserve">Water heater </t>
  </si>
  <si>
    <t>AO Smith LTE-120D 6kW</t>
  </si>
  <si>
    <t>Bradford 119 Gallons</t>
  </si>
  <si>
    <t>https://docs.bradfordwhite.com/Spec_Sheets/1410_Current.pdf</t>
  </si>
  <si>
    <t>Recirculation pump</t>
  </si>
  <si>
    <t>J2</t>
  </si>
  <si>
    <t>Hose bibs</t>
  </si>
  <si>
    <t>J3</t>
  </si>
  <si>
    <t>Angle valves</t>
  </si>
  <si>
    <t>J4</t>
  </si>
  <si>
    <t>Supply Hoses</t>
  </si>
  <si>
    <t>J5</t>
  </si>
  <si>
    <t>Vanity P- Trap</t>
  </si>
  <si>
    <t>J6</t>
  </si>
  <si>
    <t>Shower P-Trap</t>
  </si>
  <si>
    <t>J7</t>
  </si>
  <si>
    <t>Insulation</t>
  </si>
  <si>
    <t>J8</t>
  </si>
  <si>
    <t>Vent cover</t>
  </si>
  <si>
    <t>J9</t>
  </si>
  <si>
    <t>Brickstone drain</t>
  </si>
  <si>
    <t>12 feet</t>
  </si>
  <si>
    <t>https://www.aco.co.uk/products/hexdrain-brickslot</t>
  </si>
  <si>
    <t>J10</t>
  </si>
  <si>
    <t>Lift station</t>
  </si>
  <si>
    <t>E- One</t>
  </si>
  <si>
    <t>TBD</t>
  </si>
  <si>
    <t>J11</t>
  </si>
  <si>
    <t>Soak away</t>
  </si>
  <si>
    <t>Cold water service</t>
  </si>
  <si>
    <t>PVC SCH40</t>
  </si>
  <si>
    <t>Cold water distribution</t>
  </si>
  <si>
    <t>CPVC</t>
  </si>
  <si>
    <t>Hot water distribution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</si>
</sst>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D23232"/>
      <name val="Arial"/>
    </font>
    <font>
      <b/>
      <sz val="10.0"/>
      <color rgb="FF646E8C"/>
      <name val="Arial"/>
    </font>
    <font>
      <sz val="10.0"/>
      <color theme="1"/>
      <name val="Arial"/>
    </font>
    <font>
      <b/>
      <sz val="11.0"/>
      <color rgb="FF646E8C"/>
      <name val="Arial"/>
    </font>
    <font>
      <b/>
      <sz val="11.0"/>
      <color rgb="FFD23232"/>
      <name val="Arial"/>
    </font>
    <font>
      <b/>
      <sz val="12.0"/>
      <color rgb="FF646E8C"/>
      <name val="Arial"/>
    </font>
    <font>
      <b/>
      <sz val="11.0"/>
      <color rgb="FF1F7A3D"/>
      <name val="Arial"/>
    </font>
    <font/>
    <font>
      <b/>
      <sz val="11.0"/>
      <color rgb="FFB36B00"/>
      <name val="Arial"/>
    </font>
    <font>
      <b/>
      <sz val="11.0"/>
      <color rgb="FF806600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color theme="1"/>
      <name val="Calibri"/>
      <scheme val="minor"/>
    </font>
    <font>
      <u/>
      <sz val="10.0"/>
      <color rgb="FF0000FF"/>
      <name val="Arial"/>
    </font>
    <font>
      <b/>
      <sz val="10.0"/>
      <color rgb="FF806600"/>
      <name val="Arial"/>
    </font>
    <font>
      <b/>
      <sz val="11.0"/>
      <color theme="1"/>
      <name val="Arial"/>
    </font>
    <font>
      <u/>
      <sz val="10.0"/>
      <color rgb="FF0000FF"/>
      <name val="Arial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646E8C"/>
        <bgColor rgb="FF646E8C"/>
      </patternFill>
    </fill>
    <fill>
      <patternFill patternType="solid">
        <fgColor rgb="FFEAEBED"/>
        <bgColor rgb="FFEAEBED"/>
      </patternFill>
    </fill>
    <fill>
      <patternFill patternType="solid">
        <fgColor rgb="FFFCE4E4"/>
        <bgColor rgb="FFFCE4E4"/>
      </patternFill>
    </fill>
    <fill>
      <patternFill patternType="solid">
        <fgColor rgb="FFF2F3F5"/>
        <bgColor rgb="FFF2F3F5"/>
      </patternFill>
    </fill>
    <fill>
      <patternFill patternType="solid">
        <fgColor rgb="FFDDEEDF"/>
        <bgColor rgb="FFDDEEDF"/>
      </patternFill>
    </fill>
    <fill>
      <patternFill patternType="solid">
        <fgColor rgb="FFFFEBCC"/>
        <bgColor rgb="FFFFEBCC"/>
      </patternFill>
    </fill>
    <fill>
      <patternFill patternType="solid">
        <fgColor rgb="FFFFF7CC"/>
        <bgColor rgb="FFFFF7CC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left" readingOrder="0" shrinkToFit="0" vertical="top" wrapText="1"/>
    </xf>
    <xf borderId="1" fillId="3" fontId="5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center" wrapText="1"/>
    </xf>
    <xf borderId="1" fillId="4" fontId="6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2" fillId="5" fontId="7" numFmtId="0" xfId="0" applyAlignment="1" applyBorder="1" applyFill="1" applyFont="1">
      <alignment horizontal="left" shrinkToFit="0" vertical="center" wrapText="0"/>
    </xf>
    <xf borderId="1" fillId="6" fontId="8" numFmtId="0" xfId="0" applyAlignment="1" applyBorder="1" applyFill="1" applyFont="1">
      <alignment horizontal="center" shrinkToFit="0" vertical="center" wrapText="0"/>
    </xf>
    <xf borderId="3" fillId="0" fontId="9" numFmtId="0" xfId="0" applyBorder="1" applyFont="1"/>
    <xf borderId="1" fillId="7" fontId="10" numFmtId="0" xfId="0" applyAlignment="1" applyBorder="1" applyFill="1" applyFont="1">
      <alignment horizontal="center" shrinkToFit="0" vertical="center" wrapText="0"/>
    </xf>
    <xf borderId="4" fillId="0" fontId="9" numFmtId="0" xfId="0" applyBorder="1" applyFont="1"/>
    <xf borderId="1" fillId="8" fontId="11" numFmtId="0" xfId="0" applyAlignment="1" applyBorder="1" applyFill="1" applyFont="1">
      <alignment horizontal="center" shrinkToFit="0" vertical="center" wrapText="0"/>
    </xf>
    <xf borderId="1" fillId="0" fontId="12" numFmtId="0" xfId="0" applyAlignment="1" applyBorder="1" applyFont="1">
      <alignment horizontal="left" shrinkToFit="0" vertical="top" wrapText="1"/>
    </xf>
    <xf borderId="1" fillId="2" fontId="13" numFmtId="0" xfId="0" applyAlignment="1" applyBorder="1" applyFill="1" applyFont="1">
      <alignment horizontal="left" shrinkToFit="0" vertical="center" wrapText="0"/>
    </xf>
    <xf borderId="1" fillId="2" fontId="13" numFmtId="0" xfId="0" applyAlignment="1" applyBorder="1" applyFill="1" applyFont="1">
      <alignment horizontal="center" shrinkToFit="0" vertical="center" wrapText="0"/>
    </xf>
    <xf borderId="1" fillId="0" fontId="14" numFmtId="0" xfId="0" applyAlignment="1" applyBorder="1" applyFont="1">
      <alignment horizontal="left" readingOrder="0" shrinkToFit="0" vertical="top" wrapText="1"/>
    </xf>
    <xf borderId="1" fillId="3" fontId="3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0" fillId="0" fontId="15" numFmtId="0" xfId="0" applyAlignment="1" applyFont="1">
      <alignment readingOrder="0"/>
    </xf>
    <xf borderId="1" fillId="0" fontId="3" numFmtId="0" xfId="0" applyAlignment="1" applyBorder="1" applyFont="1">
      <alignment horizontal="left" shrinkToFit="0" vertical="top" wrapText="1"/>
    </xf>
    <xf borderId="1" fillId="9" fontId="4" numFmtId="0" xfId="0" applyAlignment="1" applyBorder="1" applyFill="1" applyFont="1">
      <alignment horizontal="left" readingOrder="0" shrinkToFit="0" vertical="top" wrapText="1"/>
    </xf>
    <xf borderId="1" fillId="9" fontId="4" numFmtId="0" xfId="0" applyAlignment="1" applyBorder="1" applyFill="1" applyFont="1">
      <alignment horizontal="left" shrinkToFit="0" vertical="top" wrapText="1"/>
    </xf>
    <xf borderId="1" fillId="9" fontId="12" numFmtId="0" xfId="0" applyAlignment="1" applyBorder="1" applyFill="1" applyFont="1">
      <alignment horizontal="left" shrinkToFit="0" vertical="top" wrapText="1"/>
    </xf>
    <xf borderId="1" fillId="9" fontId="16" numFmtId="0" xfId="0" applyAlignment="1" applyBorder="1" applyFill="1" applyFont="1">
      <alignment horizontal="left" readingOrder="0" shrinkToFit="0" vertical="top" wrapText="1"/>
    </xf>
    <xf borderId="1" fillId="9" fontId="3" numFmtId="0" xfId="0" applyAlignment="1" applyBorder="1" applyFill="1" applyFont="1">
      <alignment horizontal="center" shrinkToFit="0" vertical="center" wrapText="0"/>
    </xf>
    <xf borderId="1" fillId="0" fontId="12" numFmtId="0" xfId="0" applyAlignment="1" applyBorder="1" applyFont="1">
      <alignment horizontal="left" readingOrder="0" shrinkToFit="0" vertical="top" wrapText="1"/>
    </xf>
    <xf borderId="1" fillId="8" fontId="17" numFmtId="0" xfId="0" applyAlignment="1" applyBorder="1" applyFill="1" applyFont="1">
      <alignment horizontal="center" shrinkToFit="0" vertical="center" wrapText="0"/>
    </xf>
    <xf borderId="1" fillId="9" fontId="12" numFmtId="0" xfId="0" applyAlignment="1" applyBorder="1" applyFill="1" applyFont="1">
      <alignment horizontal="left" readingOrder="0" shrinkToFit="0" vertical="top" wrapText="1"/>
    </xf>
    <xf borderId="1" fillId="9" fontId="17" numFmtId="0" xfId="0" applyAlignment="1" applyBorder="1" applyFill="1" applyFont="1">
      <alignment horizontal="center" shrinkToFit="0" vertical="center" wrapText="0"/>
    </xf>
    <xf borderId="1" fillId="0" fontId="17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horizontal="left" readingOrder="0" shrinkToFit="0" vertical="top" wrapText="1"/>
    </xf>
    <xf borderId="1" fillId="0" fontId="19" numFmtId="0" xfId="0" applyAlignment="1" applyBorder="1" applyFont="1">
      <alignment horizontal="left" readingOrder="0" shrinkToFit="0" vertical="top" wrapText="1"/>
    </xf>
    <xf borderId="0" fillId="0" fontId="18" numFmtId="0" xfId="0" applyAlignment="1" applyFont="1">
      <alignment readingOrder="0"/>
    </xf>
    <xf borderId="0" fillId="0" fontId="15" numFmtId="0" xfId="0" applyAlignment="1" applyFont="1">
      <alignment horizontal="left" readingOrder="0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online.flippingbook.com/view/858239882/" TargetMode="External"/><Relationship Id="rId10" Type="http://schemas.openxmlformats.org/officeDocument/2006/relationships/hyperlink" Target="https://www.pentair.com/content/dam/extranet/nam/pentair-pool/residential/white-goods/auto-water-fillers/automatic-water-filler-brochure-english.pdf" TargetMode="External"/><Relationship Id="rId13" Type="http://schemas.openxmlformats.org/officeDocument/2006/relationships/hyperlink" Target="https://valveman.com/content/specification-sheet-bonomi-100102-valveman.com.pdf" TargetMode="External"/><Relationship Id="rId12" Type="http://schemas.openxmlformats.org/officeDocument/2006/relationships/hyperlink" Target="https://www.cdivalve.com/files/upload/69/cd_r400_series_bob_float_valves_sales_sheet.pdf" TargetMode="External"/><Relationship Id="rId1" Type="http://schemas.openxmlformats.org/officeDocument/2006/relationships/hyperlink" Target="https://www.pentair.com/content/dam/extranet/nam/pentair-pool/residential/filters/filter-web-pages/support-pages/pentair-clean-and-clear-cartridge-filter-brochure-2025.pdf" TargetMode="External"/><Relationship Id="rId2" Type="http://schemas.openxmlformats.org/officeDocument/2006/relationships/hyperlink" Target="https://online.flippingbook.com/view/154564692/" TargetMode="External"/><Relationship Id="rId3" Type="http://schemas.openxmlformats.org/officeDocument/2006/relationships/hyperlink" Target="https://online.flippingbook.com/view/154564692/" TargetMode="External"/><Relationship Id="rId4" Type="http://schemas.openxmlformats.org/officeDocument/2006/relationships/hyperlink" Target="https://online.flippingbook.com/view/1043537520/" TargetMode="External"/><Relationship Id="rId9" Type="http://schemas.openxmlformats.org/officeDocument/2006/relationships/hyperlink" Target="https://www.pentair.com/content/dam/extranet/nam/pentair-pool/residential/in-floor-cleaning-and-circulation/avsc-heavy-debris-removal/user-docs/avsc-drain-install-and-user-guide.pdf" TargetMode="External"/><Relationship Id="rId15" Type="http://schemas.openxmlformats.org/officeDocument/2006/relationships/hyperlink" Target="https://cdn.fluidrausa.com/-/media/zodiac/global/downloads/jandy/valves/h0292100.pdf?rev=0eb4947fbef74594a2907a00fdf31b57?force=1" TargetMode="External"/><Relationship Id="rId14" Type="http://schemas.openxmlformats.org/officeDocument/2006/relationships/hyperlink" Target="https://aquadepotinc.com/wp-content/uploads/FT-VALVULA-AQUARAM.pdf" TargetMode="External"/><Relationship Id="rId17" Type="http://schemas.openxmlformats.org/officeDocument/2006/relationships/hyperlink" Target="https://www.aco.co.uk/products/hexdrain-brickslot" TargetMode="External"/><Relationship Id="rId16" Type="http://schemas.openxmlformats.org/officeDocument/2006/relationships/hyperlink" Target="https://docs.bradfordwhite.com/Spec_Sheets/1410_Current.pdf" TargetMode="External"/><Relationship Id="rId5" Type="http://schemas.openxmlformats.org/officeDocument/2006/relationships/hyperlink" Target="https://online.flippingbook.com/view/544733869/" TargetMode="External"/><Relationship Id="rId6" Type="http://schemas.openxmlformats.org/officeDocument/2006/relationships/hyperlink" Target="https://www.poolheatpumps.com/documents/brands/gulfstream/gulfstream-he150ra-spec-sheet-.pdf?srsltid=AfmBOorxwQSwYXeGjKTHLQUFj1asNGOiGF2S191rn0Ypm9F8lmgAVRVu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static1.squarespace.com/static/6519e230af90b51759bda677/t/66cb857eb253041fc8392757/1724614014630/Hayward+Wall+Return+Fittings.pdf" TargetMode="External"/><Relationship Id="rId8" Type="http://schemas.openxmlformats.org/officeDocument/2006/relationships/hyperlink" Target="https://static1.squarespace.com/static/55257138e4b0c26feadbc8ce/t/5b2bf42eaa4a999d8cfc8e9e/1529607217692/Pebble+Top+Floor+Return+Brochure+email.pd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7" width="10.0"/>
    <col customWidth="1" min="8" max="26" width="8.71"/>
  </cols>
  <sheetData>
    <row r="1" ht="25.5" customHeight="1">
      <c r="A1" s="1" t="s">
        <v>0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11</v>
      </c>
      <c r="G1" s="1" t="s">
        <v>13</v>
      </c>
    </row>
    <row r="2" ht="21.75" customHeight="1">
      <c r="A2" s="5" t="s">
        <v>15</v>
      </c>
      <c r="B2" s="11">
        <f t="shared" ref="B2:B7" si="1">SUM(C2:G2)</f>
        <v>7</v>
      </c>
      <c r="C2" s="11">
        <v>4.0</v>
      </c>
      <c r="D2" s="11">
        <v>2.0</v>
      </c>
      <c r="E2" s="11">
        <v>1.0</v>
      </c>
      <c r="F2" s="11">
        <v>0.0</v>
      </c>
      <c r="G2" s="11">
        <v>0.0</v>
      </c>
    </row>
    <row r="3" ht="21.75" customHeight="1">
      <c r="A3" s="5" t="s">
        <v>36</v>
      </c>
      <c r="B3" s="11">
        <f t="shared" si="1"/>
        <v>8</v>
      </c>
      <c r="C3" s="11">
        <v>7.0</v>
      </c>
      <c r="D3" s="11">
        <v>0.0</v>
      </c>
      <c r="E3" s="11">
        <v>0.0</v>
      </c>
      <c r="F3" s="11">
        <v>1.0</v>
      </c>
      <c r="G3" s="11">
        <v>0.0</v>
      </c>
    </row>
    <row r="4" ht="21.75" customHeight="1">
      <c r="A4" s="5" t="s">
        <v>39</v>
      </c>
      <c r="B4" s="11">
        <f t="shared" si="1"/>
        <v>2</v>
      </c>
      <c r="C4" s="11">
        <v>1.0</v>
      </c>
      <c r="D4" s="11">
        <v>1.0</v>
      </c>
      <c r="E4" s="11">
        <v>0.0</v>
      </c>
      <c r="F4" s="11">
        <v>0.0</v>
      </c>
      <c r="G4" s="11">
        <v>0.0</v>
      </c>
    </row>
    <row r="5" ht="21.75" customHeight="1">
      <c r="A5" s="5" t="s">
        <v>46</v>
      </c>
      <c r="B5" s="11">
        <f t="shared" si="1"/>
        <v>4</v>
      </c>
      <c r="C5" s="11">
        <v>3.0</v>
      </c>
      <c r="D5" s="11">
        <v>0.0</v>
      </c>
      <c r="E5" s="11">
        <v>0.0</v>
      </c>
      <c r="F5" s="11">
        <v>1.0</v>
      </c>
      <c r="G5" s="11">
        <v>0.0</v>
      </c>
    </row>
    <row r="6" ht="21.75" customHeight="1">
      <c r="A6" s="5" t="s">
        <v>48</v>
      </c>
      <c r="B6" s="11">
        <f t="shared" si="1"/>
        <v>5</v>
      </c>
      <c r="C6" s="11">
        <v>1.0</v>
      </c>
      <c r="D6" s="11">
        <v>0.0</v>
      </c>
      <c r="E6" s="11">
        <v>0.0</v>
      </c>
      <c r="F6" s="11">
        <v>0.0</v>
      </c>
      <c r="G6" s="11">
        <v>4.0</v>
      </c>
    </row>
    <row r="7" ht="21.75" customHeight="1">
      <c r="A7" s="5" t="s">
        <v>49</v>
      </c>
      <c r="B7" s="11">
        <f t="shared" si="1"/>
        <v>1</v>
      </c>
      <c r="C7" s="11">
        <v>0.0</v>
      </c>
      <c r="D7" s="11">
        <v>0.0</v>
      </c>
      <c r="E7" s="11">
        <v>0.0</v>
      </c>
      <c r="F7" s="11">
        <v>0.0</v>
      </c>
      <c r="G7" s="11">
        <v>1.0</v>
      </c>
    </row>
    <row r="8" ht="25.5" customHeight="1">
      <c r="A8" s="19" t="s">
        <v>50</v>
      </c>
      <c r="B8" s="20">
        <f t="shared" ref="B8:G8" si="2">SUM(B2:B7)</f>
        <v>27</v>
      </c>
      <c r="C8" s="20">
        <f t="shared" si="2"/>
        <v>16</v>
      </c>
      <c r="D8" s="20">
        <f t="shared" si="2"/>
        <v>3</v>
      </c>
      <c r="E8" s="20">
        <f t="shared" si="2"/>
        <v>1</v>
      </c>
      <c r="F8" s="20">
        <f t="shared" si="2"/>
        <v>2</v>
      </c>
      <c r="G8" s="20">
        <f t="shared" si="2"/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4.43"/>
    <col customWidth="1" min="2" max="2" width="7.0"/>
    <col customWidth="1" min="3" max="4" width="32.0"/>
    <col customWidth="1" min="5" max="5" width="18.0"/>
    <col customWidth="1" min="6" max="7" width="36.0"/>
    <col customWidth="1" min="8" max="8" width="45.0"/>
    <col customWidth="1" min="9" max="9" width="10.0"/>
    <col customWidth="1" min="10" max="10" width="40.0"/>
    <col customWidth="1" min="11" max="26" width="8.71"/>
  </cols>
  <sheetData>
    <row r="1" ht="30.0" customHeight="1">
      <c r="A1" s="3" t="s">
        <v>0</v>
      </c>
      <c r="B1" s="3" t="s">
        <v>10</v>
      </c>
      <c r="C1" s="3" t="s">
        <v>14</v>
      </c>
      <c r="D1" s="3" t="s">
        <v>17</v>
      </c>
      <c r="E1" s="3" t="s">
        <v>19</v>
      </c>
      <c r="F1" s="3" t="s">
        <v>20</v>
      </c>
      <c r="G1" s="3" t="s">
        <v>22</v>
      </c>
      <c r="H1" s="3" t="s">
        <v>25</v>
      </c>
      <c r="I1" s="3" t="s">
        <v>4</v>
      </c>
      <c r="J1" s="3" t="s">
        <v>27</v>
      </c>
    </row>
    <row r="2" ht="21.75" customHeight="1">
      <c r="A2" s="12" t="s">
        <v>15</v>
      </c>
      <c r="B2" s="14"/>
      <c r="C2" s="14"/>
      <c r="D2" s="14"/>
      <c r="E2" s="14"/>
      <c r="F2" s="14"/>
      <c r="G2" s="14"/>
      <c r="H2" s="14"/>
      <c r="I2" s="14"/>
      <c r="J2" s="16"/>
    </row>
    <row r="3" ht="60.0" customHeight="1">
      <c r="A3" s="8"/>
      <c r="B3" s="18" t="s">
        <v>38</v>
      </c>
      <c r="C3" s="8" t="s">
        <v>41</v>
      </c>
      <c r="D3" s="8" t="s">
        <v>42</v>
      </c>
      <c r="E3" s="8" t="s">
        <v>43</v>
      </c>
      <c r="F3" s="8" t="s">
        <v>44</v>
      </c>
      <c r="G3" s="8" t="s">
        <v>45</v>
      </c>
      <c r="H3" s="21" t="s">
        <v>47</v>
      </c>
      <c r="I3" s="22" t="s">
        <v>3</v>
      </c>
      <c r="J3" s="8" t="s">
        <v>51</v>
      </c>
    </row>
    <row r="4" ht="60.0" customHeight="1">
      <c r="A4" s="8"/>
      <c r="B4" s="18" t="s">
        <v>52</v>
      </c>
      <c r="C4" s="8" t="s">
        <v>53</v>
      </c>
      <c r="D4" s="8" t="s">
        <v>54</v>
      </c>
      <c r="E4" s="8" t="s">
        <v>43</v>
      </c>
      <c r="F4" s="8" t="s">
        <v>55</v>
      </c>
      <c r="G4" s="8" t="s">
        <v>45</v>
      </c>
      <c r="H4" s="21" t="s">
        <v>56</v>
      </c>
      <c r="I4" s="22" t="s">
        <v>3</v>
      </c>
      <c r="J4" s="8" t="s">
        <v>57</v>
      </c>
    </row>
    <row r="5" ht="60.0" customHeight="1">
      <c r="A5" s="8"/>
      <c r="B5" s="18" t="s">
        <v>58</v>
      </c>
      <c r="C5" s="8" t="s">
        <v>59</v>
      </c>
      <c r="D5" s="8" t="s">
        <v>54</v>
      </c>
      <c r="E5" s="8" t="s">
        <v>43</v>
      </c>
      <c r="F5" s="8" t="s">
        <v>60</v>
      </c>
      <c r="G5" s="8" t="s">
        <v>45</v>
      </c>
      <c r="H5" s="21" t="s">
        <v>61</v>
      </c>
      <c r="I5" s="22" t="s">
        <v>3</v>
      </c>
      <c r="J5" s="8" t="s">
        <v>62</v>
      </c>
    </row>
    <row r="6" ht="60.0" customHeight="1">
      <c r="A6" s="8"/>
      <c r="B6" s="18" t="s">
        <v>63</v>
      </c>
      <c r="C6" s="8" t="s">
        <v>64</v>
      </c>
      <c r="D6" s="8" t="s">
        <v>65</v>
      </c>
      <c r="E6" s="8" t="s">
        <v>66</v>
      </c>
      <c r="F6" s="8" t="s">
        <v>67</v>
      </c>
      <c r="G6" s="6" t="s">
        <v>68</v>
      </c>
      <c r="H6" s="21" t="s">
        <v>69</v>
      </c>
      <c r="I6" s="23" t="s">
        <v>6</v>
      </c>
      <c r="J6" s="8" t="s">
        <v>70</v>
      </c>
      <c r="K6" s="24" t="s">
        <v>72</v>
      </c>
    </row>
    <row r="7" ht="60.0" customHeight="1">
      <c r="A7" s="8"/>
      <c r="B7" s="18" t="s">
        <v>73</v>
      </c>
      <c r="C7" s="8" t="s">
        <v>75</v>
      </c>
      <c r="D7" s="8" t="s">
        <v>76</v>
      </c>
      <c r="E7" s="8" t="s">
        <v>43</v>
      </c>
      <c r="F7" s="8" t="s">
        <v>78</v>
      </c>
      <c r="G7" s="8" t="s">
        <v>79</v>
      </c>
      <c r="H7" s="21" t="s">
        <v>81</v>
      </c>
      <c r="I7" s="22" t="s">
        <v>3</v>
      </c>
      <c r="J7" s="6" t="s">
        <v>88</v>
      </c>
      <c r="K7" s="24" t="s">
        <v>90</v>
      </c>
    </row>
    <row r="8" ht="60.0" customHeight="1">
      <c r="A8" s="8"/>
      <c r="B8" s="18" t="s">
        <v>91</v>
      </c>
      <c r="C8" s="8" t="s">
        <v>92</v>
      </c>
      <c r="D8" s="8" t="s">
        <v>93</v>
      </c>
      <c r="E8" s="8" t="s">
        <v>43</v>
      </c>
      <c r="F8" s="8" t="s">
        <v>94</v>
      </c>
      <c r="G8" s="8" t="s">
        <v>95</v>
      </c>
      <c r="H8" s="21" t="s">
        <v>96</v>
      </c>
      <c r="I8" s="23" t="s">
        <v>6</v>
      </c>
      <c r="J8" s="6" t="s">
        <v>97</v>
      </c>
      <c r="K8" s="24" t="s">
        <v>98</v>
      </c>
    </row>
    <row r="9" ht="21.75" customHeight="1">
      <c r="A9" s="12" t="s">
        <v>36</v>
      </c>
      <c r="B9" s="14"/>
      <c r="C9" s="14"/>
      <c r="D9" s="14"/>
      <c r="E9" s="14"/>
      <c r="F9" s="14"/>
      <c r="G9" s="14"/>
      <c r="H9" s="14"/>
      <c r="I9" s="14"/>
      <c r="J9" s="16"/>
    </row>
    <row r="10" ht="60.0" customHeight="1">
      <c r="A10" s="8"/>
      <c r="B10" s="18" t="s">
        <v>99</v>
      </c>
      <c r="C10" s="8" t="s">
        <v>100</v>
      </c>
      <c r="D10" s="6" t="s">
        <v>101</v>
      </c>
      <c r="E10" s="8" t="s">
        <v>102</v>
      </c>
      <c r="F10" s="6" t="s">
        <v>103</v>
      </c>
      <c r="G10" s="6" t="s">
        <v>104</v>
      </c>
      <c r="H10" s="21" t="s">
        <v>105</v>
      </c>
      <c r="I10" s="22" t="s">
        <v>3</v>
      </c>
      <c r="J10" s="26" t="s">
        <v>106</v>
      </c>
    </row>
    <row r="11" ht="60.0" customHeight="1">
      <c r="A11" s="8"/>
      <c r="B11" s="18" t="s">
        <v>107</v>
      </c>
      <c r="C11" s="8" t="s">
        <v>108</v>
      </c>
      <c r="D11" s="8" t="s">
        <v>109</v>
      </c>
      <c r="E11" s="8" t="s">
        <v>43</v>
      </c>
      <c r="F11" s="6" t="s">
        <v>109</v>
      </c>
      <c r="G11" s="6" t="s">
        <v>110</v>
      </c>
      <c r="H11" s="21" t="s">
        <v>111</v>
      </c>
      <c r="I11" s="22" t="s">
        <v>3</v>
      </c>
      <c r="J11" s="8" t="s">
        <v>112</v>
      </c>
    </row>
    <row r="12" ht="60.0" customHeight="1">
      <c r="A12" s="8"/>
      <c r="B12" s="18" t="s">
        <v>113</v>
      </c>
      <c r="C12" s="8" t="s">
        <v>114</v>
      </c>
      <c r="D12" s="6" t="s">
        <v>115</v>
      </c>
      <c r="E12" s="8" t="s">
        <v>43</v>
      </c>
      <c r="F12" s="6" t="s">
        <v>116</v>
      </c>
      <c r="G12" s="6" t="s">
        <v>117</v>
      </c>
      <c r="H12" s="8"/>
      <c r="I12" s="22" t="s">
        <v>3</v>
      </c>
      <c r="J12" s="8" t="s">
        <v>118</v>
      </c>
      <c r="K12" s="24" t="s">
        <v>119</v>
      </c>
    </row>
    <row r="13" ht="60.0" customHeight="1">
      <c r="A13" s="27"/>
      <c r="B13" s="28" t="s">
        <v>120</v>
      </c>
      <c r="C13" s="27" t="s">
        <v>121</v>
      </c>
      <c r="D13" s="26" t="s">
        <v>122</v>
      </c>
      <c r="E13" s="26">
        <v>1.0</v>
      </c>
      <c r="F13" s="26" t="s">
        <v>123</v>
      </c>
      <c r="G13" s="26" t="s">
        <v>124</v>
      </c>
      <c r="H13" s="29" t="s">
        <v>125</v>
      </c>
      <c r="I13" s="30" t="s">
        <v>3</v>
      </c>
      <c r="J13" s="26" t="s">
        <v>126</v>
      </c>
      <c r="K13" s="24" t="s">
        <v>127</v>
      </c>
    </row>
    <row r="14" ht="60.0" customHeight="1">
      <c r="A14" s="8"/>
      <c r="B14" s="31" t="s">
        <v>128</v>
      </c>
      <c r="C14" s="8" t="s">
        <v>129</v>
      </c>
      <c r="D14" s="8" t="s">
        <v>130</v>
      </c>
      <c r="E14" s="8" t="s">
        <v>43</v>
      </c>
      <c r="F14" s="8" t="s">
        <v>131</v>
      </c>
      <c r="G14" s="8" t="s">
        <v>132</v>
      </c>
      <c r="H14" s="21" t="s">
        <v>133</v>
      </c>
      <c r="I14" s="22" t="s">
        <v>3</v>
      </c>
      <c r="J14" s="8" t="s">
        <v>134</v>
      </c>
    </row>
    <row r="15" ht="21.75" customHeight="1">
      <c r="A15" s="12" t="s">
        <v>39</v>
      </c>
      <c r="B15" s="14"/>
      <c r="C15" s="14"/>
      <c r="D15" s="14"/>
      <c r="E15" s="14"/>
      <c r="F15" s="14"/>
      <c r="G15" s="14"/>
      <c r="H15" s="14"/>
      <c r="I15" s="14"/>
      <c r="J15" s="16"/>
    </row>
    <row r="16">
      <c r="A16" s="8"/>
      <c r="B16" s="18" t="s">
        <v>135</v>
      </c>
      <c r="C16" s="8" t="s">
        <v>136</v>
      </c>
      <c r="D16" s="8" t="s">
        <v>137</v>
      </c>
      <c r="E16" s="8" t="s">
        <v>138</v>
      </c>
      <c r="F16" s="8" t="s">
        <v>139</v>
      </c>
      <c r="G16" s="8" t="s">
        <v>140</v>
      </c>
      <c r="H16" s="21" t="s">
        <v>141</v>
      </c>
      <c r="I16" s="23" t="s">
        <v>6</v>
      </c>
      <c r="J16" s="26" t="s">
        <v>142</v>
      </c>
    </row>
    <row r="17" ht="21.75" customHeight="1">
      <c r="A17" s="12" t="s">
        <v>46</v>
      </c>
      <c r="B17" s="14"/>
      <c r="C17" s="14"/>
      <c r="D17" s="14"/>
      <c r="E17" s="14"/>
      <c r="F17" s="14"/>
      <c r="G17" s="14"/>
      <c r="H17" s="14"/>
      <c r="I17" s="14"/>
      <c r="J17" s="16"/>
    </row>
    <row r="18" ht="60.0" customHeight="1">
      <c r="A18" s="8"/>
      <c r="B18" s="18" t="s">
        <v>143</v>
      </c>
      <c r="C18" s="8" t="s">
        <v>144</v>
      </c>
      <c r="D18" s="8" t="s">
        <v>145</v>
      </c>
      <c r="E18" s="8" t="s">
        <v>43</v>
      </c>
      <c r="F18" s="8" t="s">
        <v>146</v>
      </c>
      <c r="G18" s="8" t="s">
        <v>147</v>
      </c>
      <c r="H18" s="21" t="s">
        <v>148</v>
      </c>
      <c r="I18" s="22" t="s">
        <v>3</v>
      </c>
      <c r="J18" s="8" t="s">
        <v>149</v>
      </c>
    </row>
    <row r="19" ht="60.0" customHeight="1">
      <c r="A19" s="8"/>
      <c r="B19" s="18" t="s">
        <v>150</v>
      </c>
      <c r="C19" s="8" t="s">
        <v>151</v>
      </c>
      <c r="D19" s="6" t="s">
        <v>152</v>
      </c>
      <c r="E19" s="8" t="s">
        <v>43</v>
      </c>
      <c r="F19" s="6" t="s">
        <v>153</v>
      </c>
      <c r="G19" s="6" t="s">
        <v>154</v>
      </c>
      <c r="H19" s="21" t="s">
        <v>155</v>
      </c>
      <c r="I19" s="22" t="s">
        <v>3</v>
      </c>
      <c r="J19" s="8" t="s">
        <v>156</v>
      </c>
    </row>
    <row r="20" ht="21.75" customHeight="1">
      <c r="A20" s="12" t="s">
        <v>48</v>
      </c>
      <c r="B20" s="14"/>
      <c r="C20" s="14"/>
      <c r="D20" s="14"/>
      <c r="E20" s="14"/>
      <c r="F20" s="14"/>
      <c r="G20" s="14"/>
      <c r="H20" s="14"/>
      <c r="I20" s="14"/>
      <c r="J20" s="16"/>
    </row>
    <row r="21" ht="60.0" customHeight="1">
      <c r="A21" s="8"/>
      <c r="B21" s="18" t="s">
        <v>157</v>
      </c>
      <c r="C21" s="6" t="s">
        <v>158</v>
      </c>
      <c r="D21" s="6" t="s">
        <v>159</v>
      </c>
      <c r="E21" s="6">
        <v>20.0</v>
      </c>
      <c r="F21" s="8" t="s">
        <v>160</v>
      </c>
      <c r="G21" s="6" t="s">
        <v>161</v>
      </c>
      <c r="H21" s="21" t="s">
        <v>162</v>
      </c>
      <c r="I21" s="32" t="s">
        <v>13</v>
      </c>
      <c r="J21" s="6" t="s">
        <v>163</v>
      </c>
    </row>
    <row r="22" ht="60.0" customHeight="1">
      <c r="A22" s="8"/>
      <c r="B22" s="18" t="s">
        <v>164</v>
      </c>
      <c r="C22" s="8" t="s">
        <v>165</v>
      </c>
      <c r="D22" s="6" t="s">
        <v>166</v>
      </c>
      <c r="E22" s="6">
        <v>4.0</v>
      </c>
      <c r="F22" s="8" t="s">
        <v>167</v>
      </c>
      <c r="G22" s="6" t="s">
        <v>168</v>
      </c>
      <c r="H22" s="21" t="s">
        <v>169</v>
      </c>
      <c r="I22" s="32" t="s">
        <v>13</v>
      </c>
      <c r="J22" s="8"/>
    </row>
    <row r="23" ht="60.0" customHeight="1">
      <c r="A23" s="27"/>
      <c r="B23" s="33" t="s">
        <v>170</v>
      </c>
      <c r="C23" s="27" t="s">
        <v>171</v>
      </c>
      <c r="D23" s="27" t="s">
        <v>172</v>
      </c>
      <c r="E23" s="27" t="s">
        <v>173</v>
      </c>
      <c r="F23" s="27" t="s">
        <v>174</v>
      </c>
      <c r="G23" s="27" t="s">
        <v>45</v>
      </c>
      <c r="H23" s="27" t="s">
        <v>175</v>
      </c>
      <c r="I23" s="30" t="s">
        <v>3</v>
      </c>
      <c r="J23" s="27" t="s">
        <v>176</v>
      </c>
      <c r="K23" s="24" t="s">
        <v>177</v>
      </c>
    </row>
    <row r="24" ht="21.75" customHeight="1">
      <c r="A24" s="12" t="s">
        <v>49</v>
      </c>
      <c r="B24" s="14"/>
      <c r="C24" s="14"/>
      <c r="D24" s="14"/>
      <c r="E24" s="14"/>
      <c r="F24" s="14"/>
      <c r="G24" s="14"/>
      <c r="H24" s="14"/>
      <c r="I24" s="14"/>
      <c r="J24" s="16"/>
    </row>
    <row r="25" ht="60.0" customHeight="1">
      <c r="A25" s="27"/>
      <c r="B25" s="28" t="s">
        <v>178</v>
      </c>
      <c r="C25" s="27" t="s">
        <v>179</v>
      </c>
      <c r="D25" s="27" t="s">
        <v>180</v>
      </c>
      <c r="E25" s="27" t="s">
        <v>181</v>
      </c>
      <c r="F25" s="27" t="s">
        <v>182</v>
      </c>
      <c r="G25" s="27" t="s">
        <v>183</v>
      </c>
      <c r="H25" s="27" t="s">
        <v>184</v>
      </c>
      <c r="I25" s="34" t="s">
        <v>13</v>
      </c>
      <c r="J25" s="27" t="s">
        <v>185</v>
      </c>
      <c r="K25" s="24" t="s">
        <v>186</v>
      </c>
    </row>
    <row r="26" ht="15.75" customHeight="1">
      <c r="A26" s="31" t="s">
        <v>187</v>
      </c>
      <c r="B26" s="18"/>
      <c r="C26" s="8"/>
      <c r="D26" s="8"/>
      <c r="E26" s="8"/>
      <c r="F26" s="8"/>
      <c r="G26" s="8"/>
      <c r="H26" s="8"/>
      <c r="I26" s="35"/>
      <c r="J26" s="8"/>
    </row>
    <row r="27" ht="15.75" customHeight="1">
      <c r="A27" s="8"/>
      <c r="B27" s="36" t="s">
        <v>188</v>
      </c>
      <c r="C27" s="6" t="s">
        <v>189</v>
      </c>
      <c r="D27" s="8"/>
      <c r="E27" s="6">
        <v>1.0</v>
      </c>
      <c r="F27" s="6" t="s">
        <v>190</v>
      </c>
      <c r="G27" s="6" t="s">
        <v>191</v>
      </c>
      <c r="H27" s="37" t="s">
        <v>192</v>
      </c>
      <c r="I27" s="35"/>
      <c r="J27" s="8"/>
    </row>
    <row r="28" ht="15.75" customHeight="1">
      <c r="B28" s="38"/>
      <c r="C28" s="24" t="s">
        <v>193</v>
      </c>
      <c r="E28" s="39">
        <v>1.0</v>
      </c>
    </row>
    <row r="29" ht="15.75" customHeight="1">
      <c r="B29" s="38" t="s">
        <v>194</v>
      </c>
      <c r="C29" s="24" t="s">
        <v>195</v>
      </c>
      <c r="E29" s="39">
        <v>3.0</v>
      </c>
    </row>
    <row r="30" ht="15.75" customHeight="1">
      <c r="B30" s="36" t="s">
        <v>196</v>
      </c>
      <c r="C30" s="24" t="s">
        <v>197</v>
      </c>
      <c r="E30" s="39">
        <v>4.0</v>
      </c>
    </row>
    <row r="31" ht="15.75" customHeight="1">
      <c r="B31" s="38" t="s">
        <v>198</v>
      </c>
      <c r="C31" s="24" t="s">
        <v>199</v>
      </c>
      <c r="E31" s="39">
        <v>4.0</v>
      </c>
    </row>
    <row r="32" ht="15.75" customHeight="1">
      <c r="B32" s="36" t="s">
        <v>200</v>
      </c>
      <c r="C32" s="24" t="s">
        <v>201</v>
      </c>
    </row>
    <row r="33" ht="15.75" customHeight="1">
      <c r="B33" s="38" t="s">
        <v>202</v>
      </c>
      <c r="C33" s="24" t="s">
        <v>203</v>
      </c>
    </row>
    <row r="34" ht="15.75" customHeight="1">
      <c r="B34" s="36" t="s">
        <v>204</v>
      </c>
      <c r="C34" s="24" t="s">
        <v>205</v>
      </c>
    </row>
    <row r="35" ht="15.75" customHeight="1">
      <c r="B35" s="38" t="s">
        <v>206</v>
      </c>
      <c r="C35" s="24" t="s">
        <v>207</v>
      </c>
    </row>
    <row r="36" ht="15.75" customHeight="1">
      <c r="B36" s="36" t="s">
        <v>208</v>
      </c>
      <c r="C36" s="24" t="s">
        <v>209</v>
      </c>
      <c r="D36" s="24"/>
      <c r="E36" s="24" t="s">
        <v>210</v>
      </c>
      <c r="H36" s="40" t="s">
        <v>211</v>
      </c>
    </row>
    <row r="37" ht="15.75" customHeight="1">
      <c r="B37" s="38" t="s">
        <v>212</v>
      </c>
      <c r="C37" s="24" t="s">
        <v>213</v>
      </c>
      <c r="D37" s="24" t="s">
        <v>214</v>
      </c>
      <c r="E37" s="24">
        <v>1.0</v>
      </c>
      <c r="I37" s="24" t="s">
        <v>215</v>
      </c>
    </row>
    <row r="38" ht="15.75" customHeight="1">
      <c r="B38" s="36" t="s">
        <v>216</v>
      </c>
      <c r="C38" s="24" t="s">
        <v>217</v>
      </c>
    </row>
    <row r="39" ht="15.75" customHeight="1">
      <c r="C39" s="24" t="s">
        <v>218</v>
      </c>
      <c r="D39" s="24" t="s">
        <v>219</v>
      </c>
    </row>
    <row r="40" ht="15.75" customHeight="1">
      <c r="C40" s="24" t="s">
        <v>220</v>
      </c>
      <c r="D40" s="24" t="s">
        <v>221</v>
      </c>
    </row>
    <row r="41" ht="15.75" customHeight="1">
      <c r="C41" s="24" t="s">
        <v>222</v>
      </c>
      <c r="D41" s="24" t="s">
        <v>221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6">
    <mergeCell ref="A2:J2"/>
    <mergeCell ref="A9:J9"/>
    <mergeCell ref="A15:J15"/>
    <mergeCell ref="A17:J17"/>
    <mergeCell ref="A20:J20"/>
    <mergeCell ref="A24:J24"/>
  </mergeCells>
  <hyperlinks>
    <hyperlink r:id="rId1" location="page=11" ref="H3"/>
    <hyperlink r:id="rId2" ref="H4"/>
    <hyperlink r:id="rId3" ref="H5"/>
    <hyperlink r:id="rId4" ref="H6"/>
    <hyperlink r:id="rId5" ref="H7"/>
    <hyperlink r:id="rId6" ref="H8"/>
    <hyperlink r:id="rId7" ref="H10"/>
    <hyperlink r:id="rId8" ref="H11"/>
    <hyperlink r:id="rId9" ref="H13"/>
    <hyperlink r:id="rId10" ref="H14"/>
    <hyperlink r:id="rId11" ref="H16"/>
    <hyperlink r:id="rId12" ref="H18"/>
    <hyperlink r:id="rId13" ref="H19"/>
    <hyperlink r:id="rId14" ref="H21"/>
    <hyperlink r:id="rId15" ref="H22"/>
    <hyperlink r:id="rId16" ref="H27"/>
    <hyperlink r:id="rId17" ref="H36"/>
  </hyperlinks>
  <printOptions/>
  <pageMargins bottom="1.0" footer="0.0" header="0.0" left="0.75" right="0.75" top="1.0"/>
  <pageSetup paperSize="9" orientation="portrait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0.0"/>
    <col customWidth="1" min="3" max="26" width="8.71"/>
  </cols>
  <sheetData>
    <row r="1" ht="25.5" customHeight="1">
      <c r="A1" s="2" t="s">
        <v>4</v>
      </c>
      <c r="B1" s="2" t="s">
        <v>9</v>
      </c>
    </row>
    <row r="2" ht="31.5" customHeight="1">
      <c r="A2" s="7" t="s">
        <v>3</v>
      </c>
      <c r="B2" s="9" t="s">
        <v>24</v>
      </c>
    </row>
    <row r="3" ht="31.5" customHeight="1">
      <c r="A3" s="10" t="s">
        <v>6</v>
      </c>
      <c r="B3" s="9" t="s">
        <v>30</v>
      </c>
    </row>
    <row r="4" ht="31.5" customHeight="1">
      <c r="A4" s="13" t="s">
        <v>7</v>
      </c>
      <c r="B4" s="9" t="s">
        <v>35</v>
      </c>
    </row>
    <row r="5" ht="31.5" customHeight="1">
      <c r="A5" s="15" t="s">
        <v>11</v>
      </c>
      <c r="B5" s="9" t="s">
        <v>37</v>
      </c>
    </row>
    <row r="6" ht="31.5" customHeight="1">
      <c r="A6" s="17" t="s">
        <v>13</v>
      </c>
      <c r="B6" s="9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8.0"/>
    <col customWidth="1" min="3" max="3" width="90.0"/>
    <col customWidth="1" min="4" max="26" width="8.71"/>
  </cols>
  <sheetData>
    <row r="1" ht="25.5" customHeight="1">
      <c r="A1" s="2" t="s">
        <v>1</v>
      </c>
      <c r="B1" s="2" t="s">
        <v>5</v>
      </c>
      <c r="C1" s="2" t="s">
        <v>8</v>
      </c>
    </row>
    <row r="2" ht="109.5" customHeight="1">
      <c r="A2" s="4" t="s">
        <v>12</v>
      </c>
      <c r="B2" s="6" t="s">
        <v>16</v>
      </c>
      <c r="C2" s="6" t="s">
        <v>18</v>
      </c>
    </row>
    <row r="3" ht="109.5" customHeight="1">
      <c r="A3" s="4" t="s">
        <v>21</v>
      </c>
      <c r="B3" s="8" t="s">
        <v>23</v>
      </c>
      <c r="C3" s="6" t="s">
        <v>26</v>
      </c>
    </row>
    <row r="4" ht="109.5" customHeight="1">
      <c r="A4" s="4" t="s">
        <v>28</v>
      </c>
      <c r="B4" s="8" t="s">
        <v>29</v>
      </c>
      <c r="C4" s="8" t="s">
        <v>31</v>
      </c>
    </row>
    <row r="5" ht="109.5" customHeight="1">
      <c r="A5" s="4" t="s">
        <v>32</v>
      </c>
      <c r="B5" s="8" t="s">
        <v>33</v>
      </c>
      <c r="C5" s="8" t="s">
        <v>34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80.0"/>
    <col customWidth="1" min="3" max="26" width="8.71"/>
  </cols>
  <sheetData>
    <row r="1" ht="25.5" customHeight="1">
      <c r="A1" s="2" t="s">
        <v>71</v>
      </c>
      <c r="B1" s="2" t="s">
        <v>14</v>
      </c>
    </row>
    <row r="2" ht="24.0" customHeight="1">
      <c r="A2" s="25" t="s">
        <v>74</v>
      </c>
      <c r="B2" s="8" t="s">
        <v>77</v>
      </c>
    </row>
    <row r="3" ht="24.0" customHeight="1">
      <c r="A3" s="8"/>
      <c r="B3" s="8" t="s">
        <v>80</v>
      </c>
    </row>
    <row r="4" ht="24.0" customHeight="1">
      <c r="A4" s="8"/>
      <c r="B4" s="8" t="s">
        <v>82</v>
      </c>
    </row>
    <row r="5" ht="24.0" customHeight="1">
      <c r="A5" s="25" t="s">
        <v>83</v>
      </c>
      <c r="B5" s="8" t="s">
        <v>84</v>
      </c>
    </row>
    <row r="6" ht="24.0" customHeight="1">
      <c r="A6" s="25" t="s">
        <v>85</v>
      </c>
      <c r="B6" s="8" t="s">
        <v>86</v>
      </c>
    </row>
    <row r="7" ht="24.0" customHeight="1">
      <c r="A7" s="8"/>
      <c r="B7" s="8" t="s">
        <v>87</v>
      </c>
    </row>
    <row r="8" ht="24.0" customHeight="1">
      <c r="A8" s="8"/>
      <c r="B8" s="8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2026-06-01T17:21:12Z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