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gister" sheetId="1" state="visible" r:id="rId1"/>
    <sheet name="Coverage" sheetId="2" state="visible" r:id="rId2"/>
    <sheet name="Gaps" sheetId="3" state="visible" r:id="rId3"/>
    <sheet name="About" sheetId="4" state="visible" r:id="rId4"/>
  </sheets>
  <definedNames>
    <definedName name="_xlnm._FilterDatabase" localSheetId="0" hidden="1">'Register'!$A$1:$Y$200</definedName>
    <definedName name="_xlnm.Print_Titles" localSheetId="0">'Register'!$1:$1</definedName>
    <definedName name="_xlnm._FilterDatabase" localSheetId="2" hidden="1">'Gaps'!$A$1:$M$129</definedName>
    <definedName name="_xlnm.Print_Titles" localSheetId="2">'Gaps'!$1:$1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##"/>
    <numFmt numFmtId="165" formatCode="yyyy-mm-dd h:mm:ss"/>
    <numFmt numFmtId="166" formatCode="yyyy-mm-dd hh:mm"/>
  </numFmts>
  <fonts count="6">
    <font>
      <name val="Calibri"/>
      <family val="2"/>
      <color theme="1"/>
      <sz val="11"/>
      <scheme val="minor"/>
    </font>
    <font>
      <b val="1"/>
      <color rgb="00FFFFFF"/>
      <sz val="10"/>
    </font>
    <font>
      <sz val="10"/>
    </font>
    <font>
      <color rgb="000563C1"/>
      <sz val="10"/>
      <u val="single"/>
    </font>
    <font>
      <b val="1"/>
      <sz val="10"/>
    </font>
    <font>
      <b val="1"/>
      <color rgb="001F3B57"/>
      <sz val="14"/>
    </font>
  </fonts>
  <fills count="4">
    <fill>
      <patternFill/>
    </fill>
    <fill>
      <patternFill patternType="gray125"/>
    </fill>
    <fill>
      <patternFill patternType="solid">
        <fgColor rgb="001F3B57"/>
      </patternFill>
    </fill>
    <fill>
      <patternFill patternType="solid">
        <fgColor rgb="00F2F6FA"/>
      </patternFill>
    </fill>
  </fills>
  <borders count="3">
    <border>
      <left/>
      <right/>
      <top/>
      <bottom/>
      <diagonal/>
    </border>
    <border>
      <left style="thin">
        <color rgb="00D6DEE6"/>
      </left>
      <right style="thin">
        <color rgb="00D6DEE6"/>
      </right>
      <top style="thin">
        <color rgb="00D6DEE6"/>
      </top>
      <bottom style="thin">
        <color rgb="00D6DEE6"/>
      </bottom>
    </border>
    <border>
      <left style="thin">
        <color rgb="00D6DEE6"/>
      </left>
      <right style="thin">
        <color rgb="00D6DEE6"/>
      </right>
      <top style="medium">
        <color rgb="001F3B57"/>
      </top>
      <bottom style="thin">
        <color rgb="00D6DEE6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top"/>
    </xf>
    <xf numFmtId="0" fontId="2" fillId="3" borderId="1" applyAlignment="1" pivotButton="0" quotePrefix="0" xfId="0">
      <alignment vertical="top" wrapText="1"/>
    </xf>
    <xf numFmtId="164" fontId="2" fillId="3" borderId="1" applyAlignment="1" pivotButton="0" quotePrefix="0" xfId="0">
      <alignment vertical="top"/>
    </xf>
    <xf numFmtId="166" fontId="2" fillId="3" borderId="1" applyAlignment="1" pivotButton="0" quotePrefix="0" xfId="0">
      <alignment vertical="top"/>
    </xf>
    <xf numFmtId="0" fontId="2" fillId="0" borderId="1" applyAlignment="1" pivotButton="0" quotePrefix="0" xfId="0">
      <alignment vertical="top"/>
    </xf>
    <xf numFmtId="0" fontId="2" fillId="0" borderId="1" applyAlignment="1" pivotButton="0" quotePrefix="0" xfId="0">
      <alignment vertical="top" wrapText="1"/>
    </xf>
    <xf numFmtId="164" fontId="2" fillId="0" borderId="1" applyAlignment="1" pivotButton="0" quotePrefix="0" xfId="0">
      <alignment vertical="top"/>
    </xf>
    <xf numFmtId="166" fontId="2" fillId="0" borderId="1" applyAlignment="1" pivotButton="0" quotePrefix="0" xfId="0">
      <alignment vertical="top"/>
    </xf>
    <xf numFmtId="0" fontId="3" fillId="0" borderId="1" applyAlignment="1" pivotButton="0" quotePrefix="0" xfId="0">
      <alignment vertical="top"/>
    </xf>
    <xf numFmtId="9" fontId="2" fillId="3" borderId="1" applyAlignment="1" pivotButton="0" quotePrefix="0" xfId="0">
      <alignment vertical="top"/>
    </xf>
    <xf numFmtId="9" fontId="2" fillId="0" borderId="1" applyAlignment="1" pivotButton="0" quotePrefix="0" xfId="0">
      <alignment vertical="top"/>
    </xf>
    <xf numFmtId="0" fontId="4" fillId="0" borderId="2" pivotButton="0" quotePrefix="0" xfId="0"/>
    <xf numFmtId="9" fontId="4" fillId="0" borderId="2" pivotButton="0" quotePrefix="0" xfId="0"/>
    <xf numFmtId="0" fontId="5" fillId="0" borderId="0" pivotButton="0" quotePrefix="0" xfId="0"/>
    <xf numFmtId="0" fontId="2" fillId="0" borderId="0" applyAlignment="1" pivotButton="0" quotePrefix="0" xfId="0">
      <alignment vertical="top" wrapText="1"/>
    </xf>
    <xf numFmtId="0" fontId="4" fillId="0" borderId="0" pivotButton="0" quotePrefix="0" xfId="0"/>
  </cellXfs>
  <cellStyles count="1">
    <cellStyle name="Normal" xfId="0" builtinId="0" hidden="0"/>
  </cellStyles>
  <dxfs count="4">
    <dxf>
      <fill>
        <patternFill patternType="solid">
          <fgColor rgb="00C6EFCE"/>
        </patternFill>
      </fill>
    </dxf>
    <dxf>
      <fill>
        <patternFill patternType="solid">
          <fgColor rgb="00FFEB9C"/>
        </patternFill>
      </fill>
    </dxf>
    <dxf>
      <fill>
        <patternFill patternType="solid">
          <fgColor rgb="00FFC7CE"/>
        </patternFill>
      </fill>
    </dxf>
    <dxf>
      <fill>
        <patternFill patternType="solid">
          <fgColor rgb="00EDEDED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altosystems.com/en/products/aelement-fusion-ansi/" TargetMode="External" Id="rId1" /><Relationship Type="http://schemas.openxmlformats.org/officeDocument/2006/relationships/hyperlink" Target="https://www.hafele.com/us/en/product/sliding-door-hardware-haefele-slido-d-line11-160p-set/P-01499186/" TargetMode="External" Id="rId2" /><Relationship Type="http://schemas.openxmlformats.org/officeDocument/2006/relationships/hyperlink" Target="https://www.assaabloy.com/ch/en/documents/service/downloads/planet/drop-down-seals/brochure-planet-drop-down-seal-x3.pdf" TargetMode="External" Id="rId3" /><Relationship Type="http://schemas.openxmlformats.org/officeDocument/2006/relationships/hyperlink" Target="https://www.kvadrat.dk/en/products/rugs/20157-mioro-outdoor" TargetMode="External" Id="rId4" /><Relationship Type="http://schemas.openxmlformats.org/officeDocument/2006/relationships/hyperlink" Target="https://www.sunbrella.com/sunbrella-upholstery-blend-linen-16001-0014" TargetMode="External" Id="rId5" /><Relationship Type="http://schemas.openxmlformats.org/officeDocument/2006/relationships/hyperlink" Target="https://www.dornbracht.com/en/products/13716882-00/deck-mounted-basin-spout-without-pop-up-waste" TargetMode="External" Id="rId6" /><Relationship Type="http://schemas.openxmlformats.org/officeDocument/2006/relationships/hyperlink" Target="https://www.totousa.com/filemanager_uploads/product_assets/SpecSheet/SS-02254_CWT9538CEMFG.pdf" TargetMode="External" Id="rId7" /><Relationship Type="http://schemas.openxmlformats.org/officeDocument/2006/relationships/hyperlink" Target="https://www.carlhansen.com/en/en/collection/footrests-stools/ch53-h43" TargetMode="External" Id="rId8" /><Relationship Type="http://schemas.openxmlformats.org/officeDocument/2006/relationships/hyperlink" Target="https://www.tribu.com/en/collections/kos/lounge-chair/" TargetMode="External" Id="rId9" /><Relationship Type="http://schemas.openxmlformats.org/officeDocument/2006/relationships/hyperlink" Target="https://fergusonprod.a.bigcontent.io/v1/static/4631136_17452207_specification" TargetMode="External" Id="rId10" /><Relationship Type="http://schemas.openxmlformats.org/officeDocument/2006/relationships/hyperlink" Target="https://www.cdivalve.com/images/uploads/Control_Devices_Float_Valve_Catalog.pdf" TargetMode="External" Id="rId11" /><Relationship Type="http://schemas.openxmlformats.org/officeDocument/2006/relationships/hyperlink" Target="https://parts.spearsmfg.com/sourcebook/SCH40TECH_40-1_T.pdf" TargetMode="External" Id="rId12" /><Relationship Type="http://schemas.openxmlformats.org/officeDocument/2006/relationships/hyperlink" Target="https://parts.spearsmfg.com/sourcebook/SCH40TECH_40WHTPIPE-1_T_PVC40_T.pdf" TargetMode="External" Id="rId13" /><Relationship Type="http://schemas.openxmlformats.org/officeDocument/2006/relationships/hyperlink" Target="https://parts.spearsmfg.com/sourcebook/SCH40TECH_40WHTPIPE-1_T_PVC40_T.pdf" TargetMode="External" Id="rId14" /><Relationship Type="http://schemas.openxmlformats.org/officeDocument/2006/relationships/hyperlink" Target="https://parts.spearsmfg.com/sourcebook/SCH40TECH_40WHTPIPE-1_T_PVC40_T.pdf" TargetMode="External" Id="rId15" /><Relationship Type="http://schemas.openxmlformats.org/officeDocument/2006/relationships/hyperlink" Target="https://parts.spearsmfg.com/sourcebook/SCH40TECH_40WHTPIPE-1_T_PVC40_T.pdf" TargetMode="External" Id="rId16" /><Relationship Type="http://schemas.openxmlformats.org/officeDocument/2006/relationships/hyperlink" Target="https://www.pentair.com/content/dam/extranet/nam/pentair-pool/residential/filters/filter-web-pages/support-pages/pentair-clean-and-clear-cartridge-filter-brochure-2025.pdf" TargetMode="External" Id="rId17" /><Relationship Type="http://schemas.openxmlformats.org/officeDocument/2006/relationships/hyperlink" Target="https://www.hubbell.com/burndy/en/products/bwb680ig-in-ground-pool-water-bonding-kit/p/484312" TargetMode="External" Id="rId18" /><Relationship Type="http://schemas.openxmlformats.org/officeDocument/2006/relationships/hyperlink" Target="https://www.pentair.com/content/dam/extranet/nam/pentair-pool/residential/automation/intellicenter/manuals---user-docs/intellicenter-install-guide.pdf" TargetMode="External" Id="rId19" /><Relationship Type="http://schemas.openxmlformats.org/officeDocument/2006/relationships/hyperlink" Target="https://static1.squarespace.com/static/6519e230af90b51759bda677/t/66cb857eb253041fc8392757/1724614014630/Hayward+Wall+Return+Fittings.pdf" TargetMode="External" Id="rId20" /><Relationship Type="http://schemas.openxmlformats.org/officeDocument/2006/relationships/hyperlink" Target="https://static1.squarespace.com/static/6519e230af90b51759bda677/t/66cb857eb253041fc8392757/1724614014630/Hayward+Wall+Return+Fittings.pdf" TargetMode="External" Id="rId21" /><Relationship Type="http://schemas.openxmlformats.org/officeDocument/2006/relationships/hyperlink" Target="https://static1.squarespace.com/static/55257138e4b0c26feadbc8ce/t/5b2bf42eaa4a999d8cfc8e9e/1529607217692/Pebble+Top+Floor+Return+Brochure+email.pdf" TargetMode="External" Id="rId22" /><Relationship Type="http://schemas.openxmlformats.org/officeDocument/2006/relationships/hyperlink" Target="https://www.pentair.com/content/dam/extranet/nam/pentair-pool/residential/in-floor-cleaning-and-circulation/avsc-heavy-debris-removal/user-docs/avsc-drain-install-and-user-guide.pdf" TargetMode="External" Id="rId23" /><Relationship Type="http://schemas.openxmlformats.org/officeDocument/2006/relationships/hyperlink" Target="https://parts.spearsmfg.com/sourcebook/SCH40TECH_40WHTPIPE-1_T_PVC40_T.pdf" TargetMode="External" Id="rId24" /><Relationship Type="http://schemas.openxmlformats.org/officeDocument/2006/relationships/hyperlink" Target="https://www.pentair.com/content/dam/extranet/nam/pentair-pool/residential/white-goods/auto-water-fillers/automatic-water-filler-brochure-english.pdf" TargetMode="External" Id="rId25" /><Relationship Type="http://schemas.openxmlformats.org/officeDocument/2006/relationships/hyperlink" Target="https://hayward.com/media/akeneo_connector/asset_files/I/S/IS1408_RevC_d3fc.pdf" TargetMode="External" Id="rId26" /><Relationship Type="http://schemas.openxmlformats.org/officeDocument/2006/relationships/hyperlink" Target="https://www.gulfstreamheatpump.com/models/#more-information" TargetMode="External" Id="rId27" /><Relationship Type="http://schemas.openxmlformats.org/officeDocument/2006/relationships/hyperlink" Target="http://www.pentair.com/intellivibe" TargetMode="External" Id="rId28" /><Relationship Type="http://schemas.openxmlformats.org/officeDocument/2006/relationships/hyperlink" Target="http://www.pentair.com/intellivibe" TargetMode="External" Id="rId29" /><Relationship Type="http://schemas.openxmlformats.org/officeDocument/2006/relationships/hyperlink" Target="https://parts.spearsmfg.com/sourcebook/SCH40TECH_40WHTPIPE-1_T_PVC40_T.pdf" TargetMode="External" Id="rId30" /><Relationship Type="http://schemas.openxmlformats.org/officeDocument/2006/relationships/hyperlink" Target="https://parts.spearsmfg.com/sourcebook/SCH40TECH_40-1_T.pdf" TargetMode="External" Id="rId31" /><Relationship Type="http://schemas.openxmlformats.org/officeDocument/2006/relationships/hyperlink" Target="https://parts.spearsmfg.com/sourcebook/SCH40TECH_40-1_T.pdf" TargetMode="External" Id="rId32" /><Relationship Type="http://schemas.openxmlformats.org/officeDocument/2006/relationships/hyperlink" Target="https://parts.spearsmfg.com/sourcebook/SCH40TECH_40-1_T.pdf" TargetMode="External" Id="rId33" /><Relationship Type="http://schemas.openxmlformats.org/officeDocument/2006/relationships/hyperlink" Target="https://parts.spearsmfg.com/sourcebook/SCH40TECH_40WHTPIPE-1_T_PVC40_T.pdf" TargetMode="External" Id="rId34" /><Relationship Type="http://schemas.openxmlformats.org/officeDocument/2006/relationships/hyperlink" Target="https://parts.spearsmfg.com/sourcebook/SCH40TECH_40WHTPIPE-1_T_PVC40_T.pdf" TargetMode="External" Id="rId35" /><Relationship Type="http://schemas.openxmlformats.org/officeDocument/2006/relationships/hyperlink" Target="https://parts.spearsmfg.com/sourcebook/SCH40TECH_40WHTPIPE-1_T_PVC40_T.pdf" TargetMode="External" Id="rId36" /><Relationship Type="http://schemas.openxmlformats.org/officeDocument/2006/relationships/hyperlink" Target="https://parts.spearsmfg.com/sourcebook/SCH40TECH_40WHTPIPE-1_T_PVC40_T.pdf" TargetMode="External" Id="rId37" /><Relationship Type="http://schemas.openxmlformats.org/officeDocument/2006/relationships/hyperlink" Target="https://online.flippingbook.com/view/154564692/" TargetMode="External" Id="rId38" /><Relationship Type="http://schemas.openxmlformats.org/officeDocument/2006/relationships/hyperlink" Target="https://online.flippingbook.com/view/154564692/" TargetMode="External" Id="rId39" /><Relationship Type="http://schemas.openxmlformats.org/officeDocument/2006/relationships/hyperlink" Target="https://www.pentair.com/en-us/pool-spa/products/water-treatment/intellichlor-plus-lt-salt-chlorine-generators.html" TargetMode="External" Id="rId40" /><Relationship Type="http://schemas.openxmlformats.org/officeDocument/2006/relationships/hyperlink" Target="https://assets.lutron.com/a/documents/3691255_eng.pdf" TargetMode="External" Id="rId41" /><Relationship Type="http://schemas.openxmlformats.org/officeDocument/2006/relationships/hyperlink" Target="https://assets.lutron.com/a/documents/369480_eng.pdf" TargetMode="External" Id="rId42" /><Relationship Type="http://schemas.openxmlformats.org/officeDocument/2006/relationships/hyperlink" Target="https://assets.lutron.com/a/documents/3691180_eng.pdf" TargetMode="External" Id="rId43" /><Relationship Type="http://schemas.openxmlformats.org/officeDocument/2006/relationships/hyperlink" Target="https://assets.lutron.com/a/documents/claro_wallplates_and_accessories.pdf" TargetMode="External" Id="rId44" /><Relationship Type="http://schemas.openxmlformats.org/officeDocument/2006/relationships/hyperlink" Target="https://support.lutron.com/us/en/product/myroom-xc/component/temperature-control/palladiom-thermostat/mwp-t-ohw" TargetMode="External" Id="rId45" /><Relationship Type="http://schemas.openxmlformats.org/officeDocument/2006/relationships/hyperlink" Target="https://assets.lutron.com/a/documents/3691130.pdf" TargetMode="External" Id="rId46" /><Relationship Type="http://schemas.openxmlformats.org/officeDocument/2006/relationships/hyperlink" Target="https://assets.lutron.com/a/documents/qse-io.pdf" TargetMode="External" Id="rId47" /><Relationship Type="http://schemas.openxmlformats.org/officeDocument/2006/relationships/hyperlink" Target="https://assets.lutron.com/a/documents/369976.pdf" TargetMode="External" Id="rId48" /><Relationship Type="http://schemas.openxmlformats.org/officeDocument/2006/relationships/hyperlink" Target="https://assets.lutron.com/a/documents/3691003_ENG.pdf" TargetMode="External" Id="rId49" /><Relationship Type="http://schemas.openxmlformats.org/officeDocument/2006/relationships/hyperlink" Target="https://support.lutron.com/us/en/product/receptacles/component/new-architectural/tamper-resistant/ltr-15-tr" TargetMode="External" Id="rId50" /><Relationship Type="http://schemas.openxmlformats.org/officeDocument/2006/relationships/hyperlink" Target="https://assets.lutron.com/a/documents/369921.pdf" TargetMode="External" Id="rId51" /><Relationship Type="http://schemas.openxmlformats.org/officeDocument/2006/relationships/hyperlink" Target="https://assets.lutron.com/a/documents/366-790.pdf" TargetMode="External" Id="rId52" /><Relationship Type="http://schemas.openxmlformats.org/officeDocument/2006/relationships/hyperlink" Target="https://support.lutron.com/us/en/product/myroom-xc/component/load-controllers/phase-dimming/mqse-4a1-d/documents/product-specification-submittals" TargetMode="External" Id="rId53" /><Relationship Type="http://schemas.openxmlformats.org/officeDocument/2006/relationships/hyperlink" Target="https://assets.lutron.com/a/documents/3691142.pdf" TargetMode="External" Id="rId54" /><Relationship Type="http://schemas.openxmlformats.org/officeDocument/2006/relationships/hyperlink" Target="https://assets.lutron.com/a/documents/3691154_eng.pdf" TargetMode="External" Id="rId55" /><Relationship Type="http://schemas.openxmlformats.org/officeDocument/2006/relationships/hyperlink" Target="https://assets.lutron.com/a/documents/3691154_eng.pdf" TargetMode="External" Id="rId56" /><Relationship Type="http://schemas.openxmlformats.org/officeDocument/2006/relationships/hyperlink" Target="https://www.titus-hvac.com/products/Grilles/272FL" TargetMode="External" Id="rId57" /><Relationship Type="http://schemas.openxmlformats.org/officeDocument/2006/relationships/hyperlink" Target="https://www.titus-hvac.com/products/Grilles/272FL" TargetMode="External" Id="rId58" /><Relationship Type="http://schemas.openxmlformats.org/officeDocument/2006/relationships/hyperlink" Target="https://www.titus-hvac.com/products/Diffusers/CT-540" TargetMode="External" Id="rId59" /><Relationship Type="http://schemas.openxmlformats.org/officeDocument/2006/relationships/hyperlink" Target="https://www.titus-hvac.com/products/Diffusers/CT-541" TargetMode="External" Id="rId60" /><Relationship Type="http://schemas.openxmlformats.org/officeDocument/2006/relationships/hyperlink" Target="https://www.titus-hvac.com/products/Diffusers/TDC-AA" TargetMode="External" Id="rId61" /><Relationship Type="http://schemas.openxmlformats.org/officeDocument/2006/relationships/hyperlink" Target="https://www.titus-hvac.com/products/Grilles/55FL" TargetMode="External" Id="rId62" /><Relationship Type="http://schemas.openxmlformats.org/officeDocument/2006/relationships/hyperlink" Target="https://www.titus-hvac.com/products/Grilles/3FL" TargetMode="External" Id="rId63" /><Relationship Type="http://schemas.openxmlformats.org/officeDocument/2006/relationships/hyperlink" Target="https://www.titus-hvac.com/products/Diffusers/FL-10" TargetMode="External" Id="rId64" /><Relationship Type="http://schemas.openxmlformats.org/officeDocument/2006/relationships/hyperlink" Target="https://www.titus-hvac.com/products/Diffusers/CT-540" TargetMode="External" Id="rId65" /><Relationship Type="http://schemas.openxmlformats.org/officeDocument/2006/relationships/hyperlink" Target="https://www.titus-hvac.com/products/Diffusers/CT-541" TargetMode="External" Id="rId66" /><Relationship Type="http://schemas.openxmlformats.org/officeDocument/2006/relationships/hyperlink" Target="https://www.mitsubishicomfort.com/products/m-series/mxz" TargetMode="External" Id="rId67" /><Relationship Type="http://schemas.openxmlformats.org/officeDocument/2006/relationships/hyperlink" Target="https://assets.lutron.com/a/documents/3691130.pdf" TargetMode="External" Id="rId68" /><Relationship Type="http://schemas.openxmlformats.org/officeDocument/2006/relationships/hyperlink" Target="http://www.mylinkdrive.com/usa/PVFY_P36NAMU_E1" TargetMode="External" Id="rId69" /><Relationship Type="http://schemas.openxmlformats.org/officeDocument/2006/relationships/hyperlink" Target="https://iaq.na.panasonic.com/ventilation/fans/whisper-mighty-led" TargetMode="External" Id="rId70" /><Relationship Type="http://schemas.openxmlformats.org/officeDocument/2006/relationships/hyperlink" Target="https://iaq.na.panasonic.com/ventilation/fans/whisper-mighty-led" TargetMode="External" Id="rId7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Y200"/>
  <sheetViews>
    <sheetView showGridLines="0"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2" customWidth="1" min="2" max="2"/>
    <col width="6" customWidth="1" min="3" max="3"/>
    <col width="22" customWidth="1" min="4" max="4"/>
    <col width="12" customWidth="1" min="5" max="5"/>
    <col width="11" customWidth="1" min="6" max="6"/>
    <col width="38" customWidth="1" min="7" max="7"/>
    <col width="26" customWidth="1" min="8" max="8"/>
    <col width="22" customWidth="1" min="9" max="9"/>
    <col width="22" customWidth="1" min="10" max="10"/>
    <col width="8" customWidth="1" min="11" max="11"/>
    <col width="10" customWidth="1" min="12" max="12"/>
    <col width="7" customWidth="1" min="13" max="13"/>
    <col width="16" customWidth="1" min="14" max="14"/>
    <col width="13" customWidth="1" min="15" max="15"/>
    <col width="12" customWidth="1" min="16" max="16"/>
    <col width="12" customWidth="1" min="17" max="17"/>
    <col width="40" customWidth="1" min="18" max="18"/>
    <col width="30" customWidth="1" min="19" max="19"/>
    <col width="50" customWidth="1" min="20" max="20"/>
    <col width="20" customWidth="1" min="21" max="21"/>
    <col width="10" customWidth="1" min="22" max="22"/>
    <col width="20" customWidth="1" min="23" max="23"/>
    <col width="12" customWidth="1" min="24" max="24"/>
    <col width="38" customWidth="1" min="25" max="25"/>
  </cols>
  <sheetData>
    <row r="1" ht="26" customHeight="1">
      <c r="A1" s="1" t="inlineStr">
        <is>
          <t>Disc</t>
        </is>
      </c>
      <c r="B1" s="1" t="inlineStr">
        <is>
          <t>Discipline</t>
        </is>
      </c>
      <c r="C1" s="1" t="inlineStr">
        <is>
          <t>Seq</t>
        </is>
      </c>
      <c r="D1" s="1" t="inlineStr">
        <is>
          <t>Sub-category</t>
        </is>
      </c>
      <c r="E1" s="1" t="inlineStr">
        <is>
          <t>Code</t>
        </is>
      </c>
      <c r="F1" s="1" t="inlineStr">
        <is>
          <t>Code (new)</t>
        </is>
      </c>
      <c r="G1" s="1" t="inlineStr">
        <is>
          <t>Item</t>
        </is>
      </c>
      <c r="H1" s="1" t="inlineStr">
        <is>
          <t>Location</t>
        </is>
      </c>
      <c r="I1" s="1" t="inlineStr">
        <is>
          <t>Manufacturer</t>
        </is>
      </c>
      <c r="J1" s="1" t="inlineStr">
        <is>
          <t>Model</t>
        </is>
      </c>
      <c r="K1" s="1" t="inlineStr">
        <is>
          <t>Qty</t>
        </is>
      </c>
      <c r="L1" s="1" t="inlineStr">
        <is>
          <t>Qty (raw)</t>
        </is>
      </c>
      <c r="M1" s="1" t="inlineStr">
        <is>
          <t>Unit</t>
        </is>
      </c>
      <c r="N1" s="1" t="inlineStr">
        <is>
          <t>Drawing ref</t>
        </is>
      </c>
      <c r="O1" s="1" t="inlineStr">
        <is>
          <t>Spec status</t>
        </is>
      </c>
      <c r="P1" s="1" t="inlineStr">
        <is>
          <t>Approved</t>
        </is>
      </c>
      <c r="Q1" s="1" t="inlineStr">
        <is>
          <t>Procured</t>
        </is>
      </c>
      <c r="R1" s="1" t="inlineStr">
        <is>
          <t>Spec URL</t>
        </is>
      </c>
      <c r="S1" s="1" t="inlineStr">
        <is>
          <t>Folder URL</t>
        </is>
      </c>
      <c r="T1" s="1" t="inlineStr">
        <is>
          <t>Notes</t>
        </is>
      </c>
      <c r="U1" s="1" t="inlineStr">
        <is>
          <t>Source sheet</t>
        </is>
      </c>
      <c r="V1" s="1" t="inlineStr">
        <is>
          <t>Source row</t>
        </is>
      </c>
      <c r="W1" s="1" t="inlineStr">
        <is>
          <t>Updated</t>
        </is>
      </c>
      <c r="X1" s="1" t="inlineStr">
        <is>
          <t>Updated by</t>
        </is>
      </c>
      <c r="Y1" s="1" t="inlineStr">
        <is>
          <t>id (uuid)</t>
        </is>
      </c>
    </row>
    <row r="2">
      <c r="A2" s="2" t="inlineStr">
        <is>
          <t>01</t>
        </is>
      </c>
      <c r="B2" s="2" t="inlineStr">
        <is>
          <t>Plaster</t>
        </is>
      </c>
      <c r="C2" s="2" t="n">
        <v>1</v>
      </c>
      <c r="D2" s="3" t="inlineStr">
        <is>
          <t>Plaster Finishes</t>
        </is>
      </c>
      <c r="E2" s="2" t="inlineStr">
        <is>
          <t>PLEX-01</t>
        </is>
      </c>
      <c r="F2" s="2" t="n"/>
      <c r="G2" s="3" t="inlineStr">
        <is>
          <t>Plaster Exterior Walls</t>
        </is>
      </c>
      <c r="H2" s="3" t="inlineStr">
        <is>
          <t>Exterior Walls</t>
        </is>
      </c>
      <c r="I2" s="2" t="n"/>
      <c r="J2" s="2" t="n"/>
      <c r="K2" s="4" t="n">
        <v>1548</v>
      </c>
      <c r="L2" s="2" t="n"/>
      <c r="M2" s="2" t="inlineStr">
        <is>
          <t>SF</t>
        </is>
      </c>
      <c r="N2" s="2" t="n"/>
      <c r="O2" s="2" t="inlineStr">
        <is>
          <t>unknown</t>
        </is>
      </c>
      <c r="P2" s="2" t="inlineStr">
        <is>
          <t>not_started</t>
        </is>
      </c>
      <c r="Q2" s="2" t="inlineStr">
        <is>
          <t>not_started</t>
        </is>
      </c>
      <c r="R2" s="2" t="n"/>
      <c r="S2" s="2" t="n"/>
      <c r="T2" s="3" t="n"/>
      <c r="U2" s="2" t="inlineStr">
        <is>
          <t>01 Plaster</t>
        </is>
      </c>
      <c r="V2" s="2" t="n">
        <v>5</v>
      </c>
      <c r="W2" s="5" t="n">
        <v>46272.71873991584</v>
      </c>
      <c r="X2" s="2" t="inlineStr">
        <is>
          <t>system</t>
        </is>
      </c>
      <c r="Y2" s="2" t="inlineStr">
        <is>
          <t>63fff325-be01-5880-913d-ef548c34cbbf</t>
        </is>
      </c>
    </row>
    <row r="3">
      <c r="A3" s="6" t="inlineStr">
        <is>
          <t>01</t>
        </is>
      </c>
      <c r="B3" s="6" t="inlineStr">
        <is>
          <t>Plaster</t>
        </is>
      </c>
      <c r="C3" s="6" t="n">
        <v>2</v>
      </c>
      <c r="D3" s="7" t="inlineStr">
        <is>
          <t>Plaster Finishes</t>
        </is>
      </c>
      <c r="E3" s="6" t="inlineStr">
        <is>
          <t>PLEX-02</t>
        </is>
      </c>
      <c r="F3" s="6" t="n"/>
      <c r="G3" s="7" t="inlineStr">
        <is>
          <t>Plaster Exterior Ceilings</t>
        </is>
      </c>
      <c r="H3" s="7" t="inlineStr">
        <is>
          <t>Exterior Ceilings</t>
        </is>
      </c>
      <c r="I3" s="6" t="n"/>
      <c r="J3" s="6" t="n"/>
      <c r="K3" s="8" t="n">
        <v>265</v>
      </c>
      <c r="L3" s="6" t="n"/>
      <c r="M3" s="6" t="inlineStr">
        <is>
          <t>SF</t>
        </is>
      </c>
      <c r="N3" s="6" t="n"/>
      <c r="O3" s="6" t="inlineStr">
        <is>
          <t>unknown</t>
        </is>
      </c>
      <c r="P3" s="6" t="inlineStr">
        <is>
          <t>not_started</t>
        </is>
      </c>
      <c r="Q3" s="6" t="inlineStr">
        <is>
          <t>not_started</t>
        </is>
      </c>
      <c r="R3" s="6" t="n"/>
      <c r="S3" s="6" t="n"/>
      <c r="T3" s="7" t="n"/>
      <c r="U3" s="6" t="inlineStr">
        <is>
          <t>01 Plaster</t>
        </is>
      </c>
      <c r="V3" s="6" t="n">
        <v>6</v>
      </c>
      <c r="W3" s="9" t="n">
        <v>46272.71873991584</v>
      </c>
      <c r="X3" s="6" t="inlineStr">
        <is>
          <t>system</t>
        </is>
      </c>
      <c r="Y3" s="6" t="inlineStr">
        <is>
          <t>eb7c3874-d7c9-5461-8eb8-f3e95bfb4c2e</t>
        </is>
      </c>
    </row>
    <row r="4">
      <c r="A4" s="2" t="inlineStr">
        <is>
          <t>01</t>
        </is>
      </c>
      <c r="B4" s="2" t="inlineStr">
        <is>
          <t>Plaster</t>
        </is>
      </c>
      <c r="C4" s="2" t="n">
        <v>3</v>
      </c>
      <c r="D4" s="3" t="inlineStr">
        <is>
          <t>Plaster Finishes</t>
        </is>
      </c>
      <c r="E4" s="2" t="inlineStr">
        <is>
          <t>PLIN-01</t>
        </is>
      </c>
      <c r="F4" s="2" t="n"/>
      <c r="G4" s="3" t="inlineStr">
        <is>
          <t>Plaster Interior Ceilings</t>
        </is>
      </c>
      <c r="H4" s="3" t="inlineStr">
        <is>
          <t>Interior Ceilings</t>
        </is>
      </c>
      <c r="I4" s="2" t="n"/>
      <c r="J4" s="2" t="n"/>
      <c r="K4" s="4" t="n">
        <v>785</v>
      </c>
      <c r="L4" s="2" t="n"/>
      <c r="M4" s="2" t="inlineStr">
        <is>
          <t>SF</t>
        </is>
      </c>
      <c r="N4" s="2" t="n"/>
      <c r="O4" s="2" t="inlineStr">
        <is>
          <t>unknown</t>
        </is>
      </c>
      <c r="P4" s="2" t="inlineStr">
        <is>
          <t>not_started</t>
        </is>
      </c>
      <c r="Q4" s="2" t="inlineStr">
        <is>
          <t>not_started</t>
        </is>
      </c>
      <c r="R4" s="2" t="n"/>
      <c r="S4" s="2" t="n"/>
      <c r="T4" s="3" t="n"/>
      <c r="U4" s="2" t="inlineStr">
        <is>
          <t>01 Plaster</t>
        </is>
      </c>
      <c r="V4" s="2" t="n">
        <v>7</v>
      </c>
      <c r="W4" s="5" t="n">
        <v>46272.71873991584</v>
      </c>
      <c r="X4" s="2" t="inlineStr">
        <is>
          <t>system</t>
        </is>
      </c>
      <c r="Y4" s="2" t="inlineStr">
        <is>
          <t>dc7a9b12-9cef-5abf-ac22-02044a8572f3</t>
        </is>
      </c>
    </row>
    <row r="5">
      <c r="A5" s="6" t="inlineStr">
        <is>
          <t>01</t>
        </is>
      </c>
      <c r="B5" s="6" t="inlineStr">
        <is>
          <t>Plaster</t>
        </is>
      </c>
      <c r="C5" s="6" t="n">
        <v>4</v>
      </c>
      <c r="D5" s="7" t="inlineStr">
        <is>
          <t>Plaster Finishes</t>
        </is>
      </c>
      <c r="E5" s="6" t="inlineStr">
        <is>
          <t>PLIN-02</t>
        </is>
      </c>
      <c r="F5" s="6" t="n"/>
      <c r="G5" s="7" t="inlineStr">
        <is>
          <t>Plaster Interior Walls</t>
        </is>
      </c>
      <c r="H5" s="7" t="inlineStr">
        <is>
          <t>Interior Walls</t>
        </is>
      </c>
      <c r="I5" s="6" t="n"/>
      <c r="J5" s="6" t="n"/>
      <c r="K5" s="8" t="n">
        <v>396</v>
      </c>
      <c r="L5" s="6" t="n"/>
      <c r="M5" s="6" t="inlineStr">
        <is>
          <t>SF</t>
        </is>
      </c>
      <c r="N5" s="6" t="n"/>
      <c r="O5" s="6" t="inlineStr">
        <is>
          <t>unknown</t>
        </is>
      </c>
      <c r="P5" s="6" t="inlineStr">
        <is>
          <t>not_started</t>
        </is>
      </c>
      <c r="Q5" s="6" t="inlineStr">
        <is>
          <t>not_started</t>
        </is>
      </c>
      <c r="R5" s="6" t="n"/>
      <c r="S5" s="6" t="n"/>
      <c r="T5" s="7" t="n"/>
      <c r="U5" s="6" t="inlineStr">
        <is>
          <t>01 Plaster</t>
        </is>
      </c>
      <c r="V5" s="6" t="n">
        <v>8</v>
      </c>
      <c r="W5" s="9" t="n">
        <v>46272.71873991584</v>
      </c>
      <c r="X5" s="6" t="inlineStr">
        <is>
          <t>system</t>
        </is>
      </c>
      <c r="Y5" s="6" t="inlineStr">
        <is>
          <t>04436236-90f5-5e74-8b95-b4053e06b576</t>
        </is>
      </c>
    </row>
    <row r="6">
      <c r="A6" s="2" t="inlineStr">
        <is>
          <t>02</t>
        </is>
      </c>
      <c r="B6" s="2" t="inlineStr">
        <is>
          <t>Stone</t>
        </is>
      </c>
      <c r="C6" s="2" t="n">
        <v>5</v>
      </c>
      <c r="D6" s="3" t="inlineStr">
        <is>
          <t>Natural Stone</t>
        </is>
      </c>
      <c r="E6" s="2" t="inlineStr">
        <is>
          <t>Creme du Provence</t>
        </is>
      </c>
      <c r="F6" s="2" t="n"/>
      <c r="G6" s="3" t="inlineStr">
        <is>
          <t>Creme du Provence — Column 1-7 cladding (40mm) + Bathroom Vanity legs B3, B4 (20mm)</t>
        </is>
      </c>
      <c r="H6" s="3" t="inlineStr">
        <is>
          <t>Column 1-7 cladding (40mm) + Bathroom Vanity legs B3, B4 (20mm)</t>
        </is>
      </c>
      <c r="I6" s="2" t="n"/>
      <c r="J6" s="2" t="inlineStr">
        <is>
          <t>Millwork schedule</t>
        </is>
      </c>
      <c r="K6" s="4" t="n">
        <v>80</v>
      </c>
      <c r="L6" s="2" t="n"/>
      <c r="M6" s="2" t="inlineStr">
        <is>
          <t>pcs</t>
        </is>
      </c>
      <c r="N6" s="2" t="n"/>
      <c r="O6" s="2" t="inlineStr">
        <is>
          <t>unknown</t>
        </is>
      </c>
      <c r="P6" s="2" t="inlineStr">
        <is>
          <t>not_started</t>
        </is>
      </c>
      <c r="Q6" s="2" t="inlineStr">
        <is>
          <t>not_started</t>
        </is>
      </c>
      <c r="R6" s="2" t="n"/>
      <c r="S6" s="2" t="n"/>
      <c r="T6" s="3" t="n"/>
      <c r="U6" s="2" t="inlineStr">
        <is>
          <t>02 Stone</t>
        </is>
      </c>
      <c r="V6" s="2" t="n">
        <v>5</v>
      </c>
      <c r="W6" s="5" t="n">
        <v>46272.71873991584</v>
      </c>
      <c r="X6" s="2" t="inlineStr">
        <is>
          <t>system</t>
        </is>
      </c>
      <c r="Y6" s="2" t="inlineStr">
        <is>
          <t>d3fa2585-ee67-5630-a27c-298a1135f6f4</t>
        </is>
      </c>
    </row>
    <row r="7">
      <c r="A7" s="6" t="inlineStr">
        <is>
          <t>02</t>
        </is>
      </c>
      <c r="B7" s="6" t="inlineStr">
        <is>
          <t>Stone</t>
        </is>
      </c>
      <c r="C7" s="6" t="n">
        <v>6</v>
      </c>
      <c r="D7" s="7" t="inlineStr">
        <is>
          <t>Natural Stone</t>
        </is>
      </c>
      <c r="E7" s="6" t="inlineStr">
        <is>
          <t>Mocca Cafe</t>
        </is>
      </c>
      <c r="F7" s="6" t="n"/>
      <c r="G7" s="7" t="inlineStr">
        <is>
          <t>Mocca Cafe — Bathroom Vanity countertop B1 + cover strips; Nightstands (left and right)</t>
        </is>
      </c>
      <c r="H7" s="7" t="inlineStr">
        <is>
          <t>Bathroom Vanity countertop B1 + cover strips; Nightstands (left and right)</t>
        </is>
      </c>
      <c r="I7" s="6" t="n"/>
      <c r="J7" s="6" t="inlineStr">
        <is>
          <t>Millwork schedule</t>
        </is>
      </c>
      <c r="K7" s="8" t="n">
        <v>15</v>
      </c>
      <c r="L7" s="6" t="n"/>
      <c r="M7" s="6" t="inlineStr">
        <is>
          <t>pcs</t>
        </is>
      </c>
      <c r="N7" s="6" t="n"/>
      <c r="O7" s="6" t="inlineStr">
        <is>
          <t>unknown</t>
        </is>
      </c>
      <c r="P7" s="6" t="inlineStr">
        <is>
          <t>not_started</t>
        </is>
      </c>
      <c r="Q7" s="6" t="inlineStr">
        <is>
          <t>not_started</t>
        </is>
      </c>
      <c r="R7" s="6" t="n"/>
      <c r="S7" s="6" t="n"/>
      <c r="T7" s="7" t="n"/>
      <c r="U7" s="6" t="inlineStr">
        <is>
          <t>02 Stone</t>
        </is>
      </c>
      <c r="V7" s="6" t="n">
        <v>6</v>
      </c>
      <c r="W7" s="9" t="n">
        <v>46272.71873991584</v>
      </c>
      <c r="X7" s="6" t="inlineStr">
        <is>
          <t>system</t>
        </is>
      </c>
      <c r="Y7" s="6" t="inlineStr">
        <is>
          <t>da864731-593d-51ab-8dc7-62996a28cb6e</t>
        </is>
      </c>
    </row>
    <row r="8">
      <c r="A8" s="2" t="inlineStr">
        <is>
          <t>02</t>
        </is>
      </c>
      <c r="B8" s="2" t="inlineStr">
        <is>
          <t>Stone</t>
        </is>
      </c>
      <c r="C8" s="2" t="n">
        <v>7</v>
      </c>
      <c r="D8" s="3" t="inlineStr">
        <is>
          <t>Natural Stone</t>
        </is>
      </c>
      <c r="E8" s="2" t="inlineStr">
        <is>
          <t>Ocean Black Bricks</t>
        </is>
      </c>
      <c r="F8" s="2" t="n"/>
      <c r="G8" s="3" t="inlineStr">
        <is>
          <t>Ocean Black Bricks — Entrance platform and steps, entrance inside, bathroom, walk-in closet, bedroom, terrace and step - 12 zones</t>
        </is>
      </c>
      <c r="H8" s="3" t="inlineStr">
        <is>
          <t>Entrance platform and steps, entrance inside, bathroom, walk-in closet, bedroom, terrace and step - 12 zones</t>
        </is>
      </c>
      <c r="I8" s="2" t="n"/>
      <c r="J8" s="2" t="inlineStr">
        <is>
          <t>Floor / pool take-off</t>
        </is>
      </c>
      <c r="K8" s="4" t="n">
        <v>3370</v>
      </c>
      <c r="L8" s="2" t="n"/>
      <c r="M8" s="2" t="inlineStr">
        <is>
          <t>pcs</t>
        </is>
      </c>
      <c r="N8" s="2" t="n"/>
      <c r="O8" s="2" t="inlineStr">
        <is>
          <t>unknown</t>
        </is>
      </c>
      <c r="P8" s="2" t="inlineStr">
        <is>
          <t>not_started</t>
        </is>
      </c>
      <c r="Q8" s="2" t="inlineStr">
        <is>
          <t>not_started</t>
        </is>
      </c>
      <c r="R8" s="2" t="n"/>
      <c r="S8" s="2" t="n"/>
      <c r="T8" s="3" t="n"/>
      <c r="U8" s="2" t="inlineStr">
        <is>
          <t>02 Stone</t>
        </is>
      </c>
      <c r="V8" s="2" t="n">
        <v>7</v>
      </c>
      <c r="W8" s="5" t="n">
        <v>46272.71873991584</v>
      </c>
      <c r="X8" s="2" t="inlineStr">
        <is>
          <t>system</t>
        </is>
      </c>
      <c r="Y8" s="2" t="inlineStr">
        <is>
          <t>097b416f-ba33-509b-b2f1-3adeb58dd91d</t>
        </is>
      </c>
    </row>
    <row r="9">
      <c r="A9" s="6" t="inlineStr">
        <is>
          <t>02</t>
        </is>
      </c>
      <c r="B9" s="6" t="inlineStr">
        <is>
          <t>Stone</t>
        </is>
      </c>
      <c r="C9" s="6" t="n">
        <v>8</v>
      </c>
      <c r="D9" s="7" t="inlineStr">
        <is>
          <t>Natural Stone</t>
        </is>
      </c>
      <c r="E9" s="6" t="inlineStr">
        <is>
          <t>Ocean Black Slabs</t>
        </is>
      </c>
      <c r="F9" s="6" t="n"/>
      <c r="G9" s="7" t="inlineStr">
        <is>
          <t>Ocean Black Slabs — WC and indoor shower pans, small pan, drain covers, threshold strip, rinse showers</t>
        </is>
      </c>
      <c r="H9" s="7" t="inlineStr">
        <is>
          <t>WC and indoor shower pans, small pan, drain covers, threshold strip, rinse showers</t>
        </is>
      </c>
      <c r="I9" s="6" t="n"/>
      <c r="J9" s="6" t="inlineStr">
        <is>
          <t>Floor / pool take-off</t>
        </is>
      </c>
      <c r="K9" s="8" t="n">
        <v>10</v>
      </c>
      <c r="L9" s="6" t="n"/>
      <c r="M9" s="6" t="inlineStr">
        <is>
          <t>pcs</t>
        </is>
      </c>
      <c r="N9" s="6" t="n"/>
      <c r="O9" s="6" t="inlineStr">
        <is>
          <t>unknown</t>
        </is>
      </c>
      <c r="P9" s="6" t="inlineStr">
        <is>
          <t>not_started</t>
        </is>
      </c>
      <c r="Q9" s="6" t="inlineStr">
        <is>
          <t>not_started</t>
        </is>
      </c>
      <c r="R9" s="6" t="n"/>
      <c r="S9" s="6" t="n"/>
      <c r="T9" s="7" t="n"/>
      <c r="U9" s="6" t="inlineStr">
        <is>
          <t>02 Stone</t>
        </is>
      </c>
      <c r="V9" s="6" t="n">
        <v>8</v>
      </c>
      <c r="W9" s="9" t="n">
        <v>46272.71873991584</v>
      </c>
      <c r="X9" s="6" t="inlineStr">
        <is>
          <t>system</t>
        </is>
      </c>
      <c r="Y9" s="6" t="inlineStr">
        <is>
          <t>524aab62-1594-5bb1-9de4-0f82f0cda315</t>
        </is>
      </c>
    </row>
    <row r="10">
      <c r="A10" s="2" t="inlineStr">
        <is>
          <t>02</t>
        </is>
      </c>
      <c r="B10" s="2" t="inlineStr">
        <is>
          <t>Stone</t>
        </is>
      </c>
      <c r="C10" s="2" t="n">
        <v>9</v>
      </c>
      <c r="D10" s="3" t="inlineStr">
        <is>
          <t>Natural Stone</t>
        </is>
      </c>
      <c r="E10" s="2" t="inlineStr">
        <is>
          <t>Red Soraya Travertine</t>
        </is>
      </c>
      <c r="F10" s="2" t="n"/>
      <c r="G10" s="3" t="inlineStr">
        <is>
          <t>Red Soraya Travertine — Mini Bar Cabinetry; Closets Behind the Bed (20mm, built up to 76mm)</t>
        </is>
      </c>
      <c r="H10" s="3" t="inlineStr">
        <is>
          <t>Mini Bar Cabinetry; Closets Behind the Bed (20mm, built up to 76mm)</t>
        </is>
      </c>
      <c r="I10" s="2" t="n"/>
      <c r="J10" s="2" t="inlineStr">
        <is>
          <t>Millwork schedule</t>
        </is>
      </c>
      <c r="K10" s="4" t="n">
        <v>18</v>
      </c>
      <c r="L10" s="2" t="n"/>
      <c r="M10" s="2" t="inlineStr">
        <is>
          <t>pcs</t>
        </is>
      </c>
      <c r="N10" s="2" t="n"/>
      <c r="O10" s="2" t="inlineStr">
        <is>
          <t>unknown</t>
        </is>
      </c>
      <c r="P10" s="2" t="inlineStr">
        <is>
          <t>not_started</t>
        </is>
      </c>
      <c r="Q10" s="2" t="inlineStr">
        <is>
          <t>not_started</t>
        </is>
      </c>
      <c r="R10" s="2" t="n"/>
      <c r="S10" s="2" t="n"/>
      <c r="T10" s="3" t="n"/>
      <c r="U10" s="2" t="inlineStr">
        <is>
          <t>02 Stone</t>
        </is>
      </c>
      <c r="V10" s="2" t="n">
        <v>9</v>
      </c>
      <c r="W10" s="5" t="n">
        <v>46272.71873991584</v>
      </c>
      <c r="X10" s="2" t="inlineStr">
        <is>
          <t>system</t>
        </is>
      </c>
      <c r="Y10" s="2" t="inlineStr">
        <is>
          <t>0444f5e6-227e-550d-99f2-f4c9c3dba535</t>
        </is>
      </c>
    </row>
    <row r="11">
      <c r="A11" s="6" t="inlineStr">
        <is>
          <t>02</t>
        </is>
      </c>
      <c r="B11" s="6" t="inlineStr">
        <is>
          <t>Stone</t>
        </is>
      </c>
      <c r="C11" s="6" t="n">
        <v>10</v>
      </c>
      <c r="D11" s="7" t="inlineStr">
        <is>
          <t>Natural Stone</t>
        </is>
      </c>
      <c r="E11" s="6" t="inlineStr">
        <is>
          <t>Sukabumi Slabs</t>
        </is>
      </c>
      <c r="F11" s="6" t="n"/>
      <c r="G11" s="7" t="inlineStr">
        <is>
          <t>Sukabumi Slabs — Pool floors and stair steps, deep walls and stair risers, shallow walls, through-basin walls</t>
        </is>
      </c>
      <c r="H11" s="7" t="inlineStr">
        <is>
          <t>Pool floors and stair steps, deep walls and stair risers, shallow walls, through-basin walls</t>
        </is>
      </c>
      <c r="I11" s="6" t="n"/>
      <c r="J11" s="6" t="inlineStr">
        <is>
          <t>Floor / pool take-off</t>
        </is>
      </c>
      <c r="K11" s="8" t="n">
        <v>2224</v>
      </c>
      <c r="L11" s="6" t="n"/>
      <c r="M11" s="6" t="inlineStr">
        <is>
          <t>pcs</t>
        </is>
      </c>
      <c r="N11" s="6" t="n"/>
      <c r="O11" s="6" t="inlineStr">
        <is>
          <t>unknown</t>
        </is>
      </c>
      <c r="P11" s="6" t="inlineStr">
        <is>
          <t>not_started</t>
        </is>
      </c>
      <c r="Q11" s="6" t="inlineStr">
        <is>
          <t>not_started</t>
        </is>
      </c>
      <c r="R11" s="6" t="n"/>
      <c r="S11" s="6" t="n"/>
      <c r="T11" s="7" t="n"/>
      <c r="U11" s="6" t="inlineStr">
        <is>
          <t>02 Stone</t>
        </is>
      </c>
      <c r="V11" s="6" t="n">
        <v>10</v>
      </c>
      <c r="W11" s="9" t="n">
        <v>46272.71873991584</v>
      </c>
      <c r="X11" s="6" t="inlineStr">
        <is>
          <t>system</t>
        </is>
      </c>
      <c r="Y11" s="6" t="inlineStr">
        <is>
          <t>18bdb000-a22f-54d4-b3e0-813fefc49a0a</t>
        </is>
      </c>
    </row>
    <row r="12">
      <c r="A12" s="2" t="inlineStr">
        <is>
          <t>02</t>
        </is>
      </c>
      <c r="B12" s="2" t="inlineStr">
        <is>
          <t>Stone</t>
        </is>
      </c>
      <c r="C12" s="2" t="n">
        <v>11</v>
      </c>
      <c r="D12" s="3" t="inlineStr">
        <is>
          <t>Natural Stone</t>
        </is>
      </c>
      <c r="E12" s="2" t="inlineStr">
        <is>
          <t>Tundra Beige</t>
        </is>
      </c>
      <c r="F12" s="2" t="n"/>
      <c r="G12" s="3" t="inlineStr">
        <is>
          <t>Tundra Beige — Outdoor Terrace Bench; Indoor Shower Bench &amp; Towel Hanger (A1-A9); Bathroom Vanity B2; Outdoor Towel Hanger (G1-G5); Day Bed H2/H3; Outdoor Entry Door Bench</t>
        </is>
      </c>
      <c r="H12" s="3" t="inlineStr">
        <is>
          <t>Outdoor Terrace Bench; Indoor Shower Bench &amp; Towel Hanger (A1-A9); Bathroom Vanity B2; Outdoor Towel Hanger (G1-G5); Day Bed H2/H3; Outdoor Entry Door Bench</t>
        </is>
      </c>
      <c r="I12" s="2" t="n"/>
      <c r="J12" s="2" t="inlineStr">
        <is>
          <t>Millwork schedule</t>
        </is>
      </c>
      <c r="K12" s="4" t="n">
        <v>77</v>
      </c>
      <c r="L12" s="2" t="n"/>
      <c r="M12" s="2" t="inlineStr">
        <is>
          <t>pcs</t>
        </is>
      </c>
      <c r="N12" s="2" t="n"/>
      <c r="O12" s="2" t="inlineStr">
        <is>
          <t>unknown</t>
        </is>
      </c>
      <c r="P12" s="2" t="inlineStr">
        <is>
          <t>not_started</t>
        </is>
      </c>
      <c r="Q12" s="2" t="inlineStr">
        <is>
          <t>not_started</t>
        </is>
      </c>
      <c r="R12" s="2" t="n"/>
      <c r="S12" s="2" t="n"/>
      <c r="T12" s="3" t="n"/>
      <c r="U12" s="2" t="inlineStr">
        <is>
          <t>02 Stone</t>
        </is>
      </c>
      <c r="V12" s="2" t="n">
        <v>11</v>
      </c>
      <c r="W12" s="5" t="n">
        <v>46272.71873991584</v>
      </c>
      <c r="X12" s="2" t="inlineStr">
        <is>
          <t>system</t>
        </is>
      </c>
      <c r="Y12" s="2" t="inlineStr">
        <is>
          <t>c88fa10f-f5e7-59df-aefd-2ba53a3c3ad3</t>
        </is>
      </c>
    </row>
    <row r="13">
      <c r="A13" s="6" t="inlineStr">
        <is>
          <t>03</t>
        </is>
      </c>
      <c r="B13" s="6" t="inlineStr">
        <is>
          <t>Doors</t>
        </is>
      </c>
      <c r="C13" s="6" t="n">
        <v>12</v>
      </c>
      <c r="D13" s="7" t="inlineStr">
        <is>
          <t>Door Hardware &amp; Ironmongery</t>
        </is>
      </c>
      <c r="E13" s="6" t="inlineStr">
        <is>
          <t>1 | D-01,D-02,D-03</t>
        </is>
      </c>
      <c r="F13" s="6" t="n"/>
      <c r="G13" s="7" t="inlineStr">
        <is>
          <t>Concealed door hinge, flush interior doors up to 80/100 kg, brushed copper</t>
        </is>
      </c>
      <c r="H13" s="7" t="inlineStr">
        <is>
          <t>W.C., Entrance, Bathroom</t>
        </is>
      </c>
      <c r="I13" s="6" t="inlineStr">
        <is>
          <t>Haefele</t>
        </is>
      </c>
      <c r="J13" s="6" t="n"/>
      <c r="K13" s="8" t="n">
        <v>18</v>
      </c>
      <c r="L13" s="6" t="n"/>
      <c r="M13" s="6" t="inlineStr">
        <is>
          <t>no</t>
        </is>
      </c>
      <c r="N13" s="6" t="inlineStr">
        <is>
          <t>A11-02/03/04</t>
        </is>
      </c>
      <c r="O13" s="6" t="inlineStr">
        <is>
          <t>not_started</t>
        </is>
      </c>
      <c r="P13" s="6" t="inlineStr">
        <is>
          <t>not_started</t>
        </is>
      </c>
      <c r="Q13" s="6" t="inlineStr">
        <is>
          <t>not_started</t>
        </is>
      </c>
      <c r="R13" s="6" t="n"/>
      <c r="S13" s="6" t="n"/>
      <c r="T13" s="7" t="n"/>
      <c r="U13" s="6" t="inlineStr">
        <is>
          <t>03 Doors</t>
        </is>
      </c>
      <c r="V13" s="6" t="n">
        <v>5</v>
      </c>
      <c r="W13" s="9" t="n">
        <v>46272.71873991584</v>
      </c>
      <c r="X13" s="6" t="inlineStr">
        <is>
          <t>system</t>
        </is>
      </c>
      <c r="Y13" s="6" t="inlineStr">
        <is>
          <t>0c1e53f9-e814-5c98-98ac-e3152fc2ca1b</t>
        </is>
      </c>
    </row>
    <row r="14">
      <c r="A14" s="2" t="inlineStr">
        <is>
          <t>03</t>
        </is>
      </c>
      <c r="B14" s="2" t="inlineStr">
        <is>
          <t>Doors</t>
        </is>
      </c>
      <c r="C14" s="2" t="n">
        <v>13</v>
      </c>
      <c r="D14" s="3" t="inlineStr">
        <is>
          <t>Door Hardware &amp; Ironmongery</t>
        </is>
      </c>
      <c r="E14" s="2" t="inlineStr">
        <is>
          <t>2 | D-01</t>
        </is>
      </c>
      <c r="F14" s="2" t="n"/>
      <c r="G14" s="3" t="inlineStr">
        <is>
          <t>Lever handle set; NE-Black Chrome</t>
        </is>
      </c>
      <c r="H14" s="3" t="inlineStr">
        <is>
          <t>Doors</t>
        </is>
      </c>
      <c r="I14" s="2" t="inlineStr">
        <is>
          <t>Salto</t>
        </is>
      </c>
      <c r="J14" s="2" t="inlineStr">
        <is>
          <t>Salto Standard Line / London Model</t>
        </is>
      </c>
      <c r="K14" s="4" t="n">
        <v>3</v>
      </c>
      <c r="L14" s="2" t="n"/>
      <c r="M14" s="2" t="inlineStr">
        <is>
          <t>set</t>
        </is>
      </c>
      <c r="N14" s="2" t="inlineStr">
        <is>
          <t>A11-02/03/04</t>
        </is>
      </c>
      <c r="O14" s="2" t="inlineStr">
        <is>
          <t>not_started</t>
        </is>
      </c>
      <c r="P14" s="2" t="inlineStr">
        <is>
          <t>not_started</t>
        </is>
      </c>
      <c r="Q14" s="2" t="inlineStr">
        <is>
          <t>not_started</t>
        </is>
      </c>
      <c r="R14" s="2" t="n"/>
      <c r="S14" s="2" t="n"/>
      <c r="T14" s="3" t="n"/>
      <c r="U14" s="2" t="inlineStr">
        <is>
          <t>03 Doors</t>
        </is>
      </c>
      <c r="V14" s="2" t="n">
        <v>6</v>
      </c>
      <c r="W14" s="5" t="n">
        <v>46272.71873991584</v>
      </c>
      <c r="X14" s="2" t="inlineStr">
        <is>
          <t>system</t>
        </is>
      </c>
      <c r="Y14" s="2" t="inlineStr">
        <is>
          <t>6d8b5004-44e8-5779-900a-e5c7788d40b5</t>
        </is>
      </c>
    </row>
    <row r="15">
      <c r="A15" s="6" t="inlineStr">
        <is>
          <t>03</t>
        </is>
      </c>
      <c r="B15" s="6" t="inlineStr">
        <is>
          <t>Doors</t>
        </is>
      </c>
      <c r="C15" s="6" t="n">
        <v>14</v>
      </c>
      <c r="D15" s="7" t="inlineStr">
        <is>
          <t>Door Hardware &amp; Ironmongery</t>
        </is>
      </c>
      <c r="E15" s="6" t="inlineStr">
        <is>
          <t>2.2 | D-03</t>
        </is>
      </c>
      <c r="F15" s="6" t="n"/>
      <c r="G15" s="7" t="inlineStr">
        <is>
          <t>Teak Wood Handle</t>
        </is>
      </c>
      <c r="H15" s="7" t="inlineStr">
        <is>
          <t>W.I.C</t>
        </is>
      </c>
      <c r="I15" s="6" t="inlineStr">
        <is>
          <t>CBMmart</t>
        </is>
      </c>
      <c r="J15" s="6" t="inlineStr">
        <is>
          <t>Exterior Grade Teak Wood Planks and Regular Teak Wood Planks</t>
        </is>
      </c>
      <c r="K15" s="8" t="n">
        <v>3</v>
      </c>
      <c r="L15" s="6" t="n"/>
      <c r="M15" s="6" t="n"/>
      <c r="N15" s="6" t="inlineStr">
        <is>
          <t>A11-02/03/06</t>
        </is>
      </c>
      <c r="O15" s="6" t="inlineStr">
        <is>
          <t>unknown</t>
        </is>
      </c>
      <c r="P15" s="6" t="inlineStr">
        <is>
          <t>not_started</t>
        </is>
      </c>
      <c r="Q15" s="6" t="inlineStr">
        <is>
          <t>not_started</t>
        </is>
      </c>
      <c r="R15" s="6" t="n"/>
      <c r="S15" s="6" t="n"/>
      <c r="T15" s="7" t="n"/>
      <c r="U15" s="6" t="inlineStr">
        <is>
          <t>03 Doors</t>
        </is>
      </c>
      <c r="V15" s="6" t="n">
        <v>7</v>
      </c>
      <c r="W15" s="9" t="n">
        <v>46272.71873991584</v>
      </c>
      <c r="X15" s="6" t="inlineStr">
        <is>
          <t>system</t>
        </is>
      </c>
      <c r="Y15" s="6" t="inlineStr">
        <is>
          <t>f8d685bd-db79-5fa4-9fe7-906c87452fa7</t>
        </is>
      </c>
    </row>
    <row r="16">
      <c r="A16" s="2" t="inlineStr">
        <is>
          <t>03</t>
        </is>
      </c>
      <c r="B16" s="2" t="inlineStr">
        <is>
          <t>Doors</t>
        </is>
      </c>
      <c r="C16" s="2" t="n">
        <v>15</v>
      </c>
      <c r="D16" s="3" t="inlineStr">
        <is>
          <t>Door Hardware &amp; Ironmongery</t>
        </is>
      </c>
      <c r="E16" s="2" t="inlineStr">
        <is>
          <t>3 | D-01</t>
        </is>
      </c>
      <c r="F16" s="2" t="n"/>
      <c r="G16" s="3" t="inlineStr">
        <is>
          <t>Electronic lockset</t>
        </is>
      </c>
      <c r="H16" s="3" t="inlineStr">
        <is>
          <t>Entrance</t>
        </is>
      </c>
      <c r="I16" s="2" t="inlineStr">
        <is>
          <t>Salto</t>
        </is>
      </c>
      <c r="J16" s="2" t="inlineStr">
        <is>
          <t>Salto Element Fusion - ANSI</t>
        </is>
      </c>
      <c r="K16" s="4" t="n">
        <v>1</v>
      </c>
      <c r="L16" s="2" t="n"/>
      <c r="M16" s="2" t="inlineStr">
        <is>
          <t>no</t>
        </is>
      </c>
      <c r="N16" s="2" t="inlineStr">
        <is>
          <t>A11-02</t>
        </is>
      </c>
      <c r="O16" s="2" t="inlineStr">
        <is>
          <t>not_started</t>
        </is>
      </c>
      <c r="P16" s="2" t="inlineStr">
        <is>
          <t>not_started</t>
        </is>
      </c>
      <c r="Q16" s="2" t="inlineStr">
        <is>
          <t>not_started</t>
        </is>
      </c>
      <c r="R16" s="10" t="inlineStr">
        <is>
          <t>https://saltosystems.com/en/products/aelement-fusion-ansi/</t>
        </is>
      </c>
      <c r="S16" s="2" t="n"/>
      <c r="T16" s="3" t="n"/>
      <c r="U16" s="2" t="inlineStr">
        <is>
          <t>03 Doors</t>
        </is>
      </c>
      <c r="V16" s="2" t="n">
        <v>8</v>
      </c>
      <c r="W16" s="5" t="n">
        <v>46272.71873991584</v>
      </c>
      <c r="X16" s="2" t="inlineStr">
        <is>
          <t>system</t>
        </is>
      </c>
      <c r="Y16" s="2" t="inlineStr">
        <is>
          <t>e5c50a7b-6c26-5be7-99df-6f2a87e24a41</t>
        </is>
      </c>
    </row>
    <row r="17">
      <c r="A17" s="6" t="inlineStr">
        <is>
          <t>03</t>
        </is>
      </c>
      <c r="B17" s="6" t="inlineStr">
        <is>
          <t>Doors</t>
        </is>
      </c>
      <c r="C17" s="6" t="n">
        <v>16</v>
      </c>
      <c r="D17" s="7" t="inlineStr">
        <is>
          <t>Door Hardware &amp; Ironmongery</t>
        </is>
      </c>
      <c r="E17" s="6" t="inlineStr">
        <is>
          <t>4 | D-04</t>
        </is>
      </c>
      <c r="F17" s="6" t="n"/>
      <c r="G17" s="7" t="inlineStr">
        <is>
          <t>Privacy Thumb Turn</t>
        </is>
      </c>
      <c r="H17" s="7" t="inlineStr">
        <is>
          <t>W.C.</t>
        </is>
      </c>
      <c r="I17" s="6" t="inlineStr">
        <is>
          <t>Salto</t>
        </is>
      </c>
      <c r="J17" s="6" t="inlineStr">
        <is>
          <t>Sargent 8200 Series</t>
        </is>
      </c>
      <c r="K17" s="8" t="n">
        <v>1</v>
      </c>
      <c r="L17" s="6" t="n"/>
      <c r="M17" s="6" t="inlineStr">
        <is>
          <t>no</t>
        </is>
      </c>
      <c r="N17" s="6" t="inlineStr">
        <is>
          <t>A11-04</t>
        </is>
      </c>
      <c r="O17" s="6" t="inlineStr">
        <is>
          <t>not_started</t>
        </is>
      </c>
      <c r="P17" s="6" t="inlineStr">
        <is>
          <t>not_started</t>
        </is>
      </c>
      <c r="Q17" s="6" t="inlineStr">
        <is>
          <t>not_started</t>
        </is>
      </c>
      <c r="R17" s="6" t="n"/>
      <c r="S17" s="6" t="n"/>
      <c r="T17" s="7" t="n"/>
      <c r="U17" s="6" t="inlineStr">
        <is>
          <t>03 Doors</t>
        </is>
      </c>
      <c r="V17" s="6" t="n">
        <v>9</v>
      </c>
      <c r="W17" s="9" t="n">
        <v>46272.71873991584</v>
      </c>
      <c r="X17" s="6" t="inlineStr">
        <is>
          <t>system</t>
        </is>
      </c>
      <c r="Y17" s="6" t="inlineStr">
        <is>
          <t>fe3ab175-3e15-5530-8d8f-9ac471b83064</t>
        </is>
      </c>
    </row>
    <row r="18">
      <c r="A18" s="2" t="inlineStr">
        <is>
          <t>03</t>
        </is>
      </c>
      <c r="B18" s="2" t="inlineStr">
        <is>
          <t>Doors</t>
        </is>
      </c>
      <c r="C18" s="2" t="n">
        <v>17</v>
      </c>
      <c r="D18" s="3" t="inlineStr">
        <is>
          <t>Door Hardware &amp; Ironmongery</t>
        </is>
      </c>
      <c r="E18" s="2" t="inlineStr">
        <is>
          <t>5 | D-01</t>
        </is>
      </c>
      <c r="F18" s="2" t="n"/>
      <c r="G18" s="3" t="inlineStr">
        <is>
          <t>Startec door viewer, brushed brass</t>
        </is>
      </c>
      <c r="H18" s="3" t="inlineStr">
        <is>
          <t>Entrance</t>
        </is>
      </c>
      <c r="I18" s="2" t="inlineStr">
        <is>
          <t>Hafele</t>
        </is>
      </c>
      <c r="J18" s="2" t="inlineStr">
        <is>
          <t>Startec 200° 82mm door viewer</t>
        </is>
      </c>
      <c r="K18" s="4" t="n">
        <v>1</v>
      </c>
      <c r="L18" s="2" t="n"/>
      <c r="M18" s="2" t="inlineStr">
        <is>
          <t>no</t>
        </is>
      </c>
      <c r="N18" s="2" t="inlineStr">
        <is>
          <t>A11-02</t>
        </is>
      </c>
      <c r="O18" s="2" t="inlineStr">
        <is>
          <t>not_started</t>
        </is>
      </c>
      <c r="P18" s="2" t="inlineStr">
        <is>
          <t>not_started</t>
        </is>
      </c>
      <c r="Q18" s="2" t="inlineStr">
        <is>
          <t>not_started</t>
        </is>
      </c>
      <c r="R18" s="2" t="n"/>
      <c r="S18" s="2" t="n"/>
      <c r="T18" s="3" t="n"/>
      <c r="U18" s="2" t="inlineStr">
        <is>
          <t>03 Doors</t>
        </is>
      </c>
      <c r="V18" s="2" t="n">
        <v>10</v>
      </c>
      <c r="W18" s="5" t="n">
        <v>46272.71873991584</v>
      </c>
      <c r="X18" s="2" t="inlineStr">
        <is>
          <t>system</t>
        </is>
      </c>
      <c r="Y18" s="2" t="inlineStr">
        <is>
          <t>5f980cf6-0bf0-563c-864b-fc23b24af3d7</t>
        </is>
      </c>
    </row>
    <row r="19">
      <c r="A19" s="6" t="inlineStr">
        <is>
          <t>03</t>
        </is>
      </c>
      <c r="B19" s="6" t="inlineStr">
        <is>
          <t>Doors</t>
        </is>
      </c>
      <c r="C19" s="6" t="n">
        <v>18</v>
      </c>
      <c r="D19" s="7" t="inlineStr">
        <is>
          <t>Door Hardware &amp; Ironmongery</t>
        </is>
      </c>
      <c r="E19" s="6" t="inlineStr">
        <is>
          <t>6 | D-03</t>
        </is>
      </c>
      <c r="F19" s="6" t="n"/>
      <c r="G19" s="7" t="inlineStr">
        <is>
          <t>Sliding door running gear (80/100 8-piece system)</t>
        </is>
      </c>
      <c r="H19" s="7" t="inlineStr">
        <is>
          <t>Closet</t>
        </is>
      </c>
      <c r="I19" s="6" t="inlineStr">
        <is>
          <t>Hafele</t>
        </is>
      </c>
      <c r="J19" s="6" t="inlineStr">
        <is>
          <t>Junior 80/B-Pocket</t>
        </is>
      </c>
      <c r="K19" s="8" t="n">
        <v>1</v>
      </c>
      <c r="L19" s="6" t="n"/>
      <c r="M19" s="6" t="inlineStr">
        <is>
          <t>set</t>
        </is>
      </c>
      <c r="N19" s="6" t="inlineStr">
        <is>
          <t>A11-03</t>
        </is>
      </c>
      <c r="O19" s="6" t="inlineStr">
        <is>
          <t>not_started</t>
        </is>
      </c>
      <c r="P19" s="6" t="inlineStr">
        <is>
          <t>not_started</t>
        </is>
      </c>
      <c r="Q19" s="6" t="inlineStr">
        <is>
          <t>not_started</t>
        </is>
      </c>
      <c r="R19" s="6" t="n"/>
      <c r="S19" s="6" t="n"/>
      <c r="T19" s="7" t="n"/>
      <c r="U19" s="6" t="inlineStr">
        <is>
          <t>03 Doors</t>
        </is>
      </c>
      <c r="V19" s="6" t="n">
        <v>11</v>
      </c>
      <c r="W19" s="9" t="n">
        <v>46272.71873991584</v>
      </c>
      <c r="X19" s="6" t="inlineStr">
        <is>
          <t>system</t>
        </is>
      </c>
      <c r="Y19" s="6" t="inlineStr">
        <is>
          <t>c5e3f544-d761-52e7-9730-c6315310e60a</t>
        </is>
      </c>
    </row>
    <row r="20">
      <c r="A20" s="2" t="inlineStr">
        <is>
          <t>03</t>
        </is>
      </c>
      <c r="B20" s="2" t="inlineStr">
        <is>
          <t>Doors</t>
        </is>
      </c>
      <c r="C20" s="2" t="n">
        <v>19</v>
      </c>
      <c r="D20" s="3" t="inlineStr">
        <is>
          <t>Door Hardware &amp; Ironmongery</t>
        </is>
      </c>
      <c r="E20" s="2" t="inlineStr">
        <is>
          <t>6.1 | S-02</t>
        </is>
      </c>
      <c r="F20" s="2" t="n"/>
      <c r="G20" s="3" t="inlineStr">
        <is>
          <t>Sliding door running gear (80/100 8-piece system)</t>
        </is>
      </c>
      <c r="H20" s="3" t="inlineStr">
        <is>
          <t>Louver</t>
        </is>
      </c>
      <c r="I20" s="2" t="inlineStr">
        <is>
          <t>Hafele</t>
        </is>
      </c>
      <c r="J20" s="2" t="inlineStr">
        <is>
          <t>Slido D-Line11 160p</t>
        </is>
      </c>
      <c r="K20" s="2" t="n"/>
      <c r="L20" s="2" t="n"/>
      <c r="M20" s="2" t="n"/>
      <c r="N20" s="2" t="inlineStr">
        <is>
          <t>A11-02/03/04</t>
        </is>
      </c>
      <c r="O20" s="2" t="inlineStr">
        <is>
          <t>unknown</t>
        </is>
      </c>
      <c r="P20" s="2" t="inlineStr">
        <is>
          <t>not_started</t>
        </is>
      </c>
      <c r="Q20" s="2" t="inlineStr">
        <is>
          <t>not_started</t>
        </is>
      </c>
      <c r="R20" s="10" t="inlineStr">
        <is>
          <t>https://www.hafele.com/us/en/product/sliding-door-hardware-haefele-slido-d-line11-160p-set/P-01499186/</t>
        </is>
      </c>
      <c r="S20" s="2" t="n"/>
      <c r="T20" s="3" t="n"/>
      <c r="U20" s="2" t="inlineStr">
        <is>
          <t>03 Doors</t>
        </is>
      </c>
      <c r="V20" s="2" t="n">
        <v>12</v>
      </c>
      <c r="W20" s="5" t="n">
        <v>46272.71873991584</v>
      </c>
      <c r="X20" s="2" t="inlineStr">
        <is>
          <t>system</t>
        </is>
      </c>
      <c r="Y20" s="2" t="inlineStr">
        <is>
          <t>1614b307-a09a-5f8a-be38-42e164967571</t>
        </is>
      </c>
    </row>
    <row r="21">
      <c r="A21" s="6" t="inlineStr">
        <is>
          <t>03</t>
        </is>
      </c>
      <c r="B21" s="6" t="inlineStr">
        <is>
          <t>Doors</t>
        </is>
      </c>
      <c r="C21" s="6" t="n">
        <v>20</v>
      </c>
      <c r="D21" s="7" t="inlineStr">
        <is>
          <t>Door Hardware &amp; Ironmongery</t>
        </is>
      </c>
      <c r="E21" s="6" t="inlineStr">
        <is>
          <t>7 | D-01</t>
        </is>
      </c>
      <c r="F21" s="6" t="n"/>
      <c r="G21" s="7" t="inlineStr">
        <is>
          <t>Automatic Drop Down Seal</t>
        </is>
      </c>
      <c r="H21" s="7" t="inlineStr">
        <is>
          <t>All doors</t>
        </is>
      </c>
      <c r="I21" s="6" t="inlineStr">
        <is>
          <t>Assa Abloy</t>
        </is>
      </c>
      <c r="J21" s="6" t="inlineStr">
        <is>
          <t>Planet X3, RD</t>
        </is>
      </c>
      <c r="K21" s="8" t="n">
        <v>1</v>
      </c>
      <c r="L21" s="6" t="n"/>
      <c r="M21" s="6" t="inlineStr">
        <is>
          <t>lot</t>
        </is>
      </c>
      <c r="N21" s="6" t="inlineStr">
        <is>
          <t>A11-02/03/04</t>
        </is>
      </c>
      <c r="O21" s="6" t="inlineStr">
        <is>
          <t>not_started</t>
        </is>
      </c>
      <c r="P21" s="6" t="inlineStr">
        <is>
          <t>not_started</t>
        </is>
      </c>
      <c r="Q21" s="6" t="inlineStr">
        <is>
          <t>not_started</t>
        </is>
      </c>
      <c r="R21" s="10" t="inlineStr">
        <is>
          <t>https://www.assaabloy.com/ch/en/documents/service/downloads/planet/drop-down-seals/brochure-planet-drop-down-seal-x3.pdf</t>
        </is>
      </c>
      <c r="S21" s="6" t="n"/>
      <c r="T21" s="7" t="n"/>
      <c r="U21" s="6" t="inlineStr">
        <is>
          <t>03 Doors</t>
        </is>
      </c>
      <c r="V21" s="6" t="n">
        <v>13</v>
      </c>
      <c r="W21" s="9" t="n">
        <v>46272.71873991584</v>
      </c>
      <c r="X21" s="6" t="inlineStr">
        <is>
          <t>system</t>
        </is>
      </c>
      <c r="Y21" s="6" t="inlineStr">
        <is>
          <t>de94b009-c604-51a6-a197-0a6c9ee74ba4</t>
        </is>
      </c>
    </row>
    <row r="22">
      <c r="A22" s="2" t="inlineStr">
        <is>
          <t>03</t>
        </is>
      </c>
      <c r="B22" s="2" t="inlineStr">
        <is>
          <t>Doors</t>
        </is>
      </c>
      <c r="C22" s="2" t="n">
        <v>21</v>
      </c>
      <c r="D22" s="3" t="inlineStr">
        <is>
          <t>Door Hardware &amp; Ironmongery</t>
        </is>
      </c>
      <c r="E22" s="2" t="inlineStr">
        <is>
          <t>7.1 | D-02,D-03,D-04</t>
        </is>
      </c>
      <c r="F22" s="2" t="n"/>
      <c r="G22" s="3" t="inlineStr">
        <is>
          <t>Sealing rubber frame strips</t>
        </is>
      </c>
      <c r="H22" s="3" t="inlineStr">
        <is>
          <t>All doors</t>
        </is>
      </c>
      <c r="I22" s="2" t="inlineStr">
        <is>
          <t>Reflect</t>
        </is>
      </c>
      <c r="J22" s="2" t="n"/>
      <c r="K22" s="4" t="n">
        <v>3</v>
      </c>
      <c r="L22" s="2" t="n"/>
      <c r="M22" s="2" t="inlineStr">
        <is>
          <t>lot</t>
        </is>
      </c>
      <c r="N22" s="2" t="inlineStr">
        <is>
          <t>A11-02/03/04</t>
        </is>
      </c>
      <c r="O22" s="2" t="inlineStr">
        <is>
          <t>not_started</t>
        </is>
      </c>
      <c r="P22" s="2" t="inlineStr">
        <is>
          <t>not_started</t>
        </is>
      </c>
      <c r="Q22" s="2" t="inlineStr">
        <is>
          <t>not_started</t>
        </is>
      </c>
      <c r="R22" s="2" t="n"/>
      <c r="S22" s="2" t="n"/>
      <c r="T22" s="3" t="n"/>
      <c r="U22" s="2" t="inlineStr">
        <is>
          <t>03 Doors</t>
        </is>
      </c>
      <c r="V22" s="2" t="n">
        <v>14</v>
      </c>
      <c r="W22" s="5" t="n">
        <v>46272.71873991584</v>
      </c>
      <c r="X22" s="2" t="inlineStr">
        <is>
          <t>system</t>
        </is>
      </c>
      <c r="Y22" s="2" t="inlineStr">
        <is>
          <t>c8506127-db91-5f2b-b48a-61402a307a83</t>
        </is>
      </c>
    </row>
    <row r="23">
      <c r="A23" s="6" t="inlineStr">
        <is>
          <t>03</t>
        </is>
      </c>
      <c r="B23" s="6" t="inlineStr">
        <is>
          <t>Doors</t>
        </is>
      </c>
      <c r="C23" s="6" t="n">
        <v>22</v>
      </c>
      <c r="D23" s="7" t="inlineStr">
        <is>
          <t>Wooden Doors (Leaves &amp; Frames)</t>
        </is>
      </c>
      <c r="E23" s="6" t="inlineStr">
        <is>
          <t>1 | S-01</t>
        </is>
      </c>
      <c r="F23" s="6" t="n"/>
      <c r="G23" s="7" t="inlineStr">
        <is>
          <t>Bedroom shutter - fixed glass + openable louver + roll blackout</t>
        </is>
      </c>
      <c r="H23" s="7" t="inlineStr">
        <is>
          <t>Bedroom</t>
        </is>
      </c>
      <c r="I23" s="6" t="n"/>
      <c r="J23" s="6" t="inlineStr">
        <is>
          <t>Teak hardwood + tempered glass</t>
        </is>
      </c>
      <c r="K23" s="8" t="n">
        <v>1</v>
      </c>
      <c r="L23" s="6" t="n"/>
      <c r="M23" s="6" t="inlineStr">
        <is>
          <t>no</t>
        </is>
      </c>
      <c r="N23" s="6" t="inlineStr">
        <is>
          <t>A11-02</t>
        </is>
      </c>
      <c r="O23" s="6" t="inlineStr">
        <is>
          <t>in_progress</t>
        </is>
      </c>
      <c r="P23" s="6" t="inlineStr">
        <is>
          <t>not_started</t>
        </is>
      </c>
      <c r="Q23" s="6" t="inlineStr">
        <is>
          <t>not_started</t>
        </is>
      </c>
      <c r="R23" s="6" t="n"/>
      <c r="S23" s="6" t="n"/>
      <c r="T23" s="7" t="inlineStr">
        <is>
          <t>Finish TBC by MMM. Blackout Lutron R64 = shades (separate scope)</t>
        </is>
      </c>
      <c r="U23" s="6" t="inlineStr">
        <is>
          <t>03 Doors</t>
        </is>
      </c>
      <c r="V23" s="6" t="n">
        <v>15</v>
      </c>
      <c r="W23" s="9" t="n">
        <v>46272.71873991584</v>
      </c>
      <c r="X23" s="6" t="inlineStr">
        <is>
          <t>system</t>
        </is>
      </c>
      <c r="Y23" s="6" t="inlineStr">
        <is>
          <t>76400601-f2ad-5e84-8c67-2f7bdca34ef0</t>
        </is>
      </c>
    </row>
    <row r="24">
      <c r="A24" s="2" t="inlineStr">
        <is>
          <t>03</t>
        </is>
      </c>
      <c r="B24" s="2" t="inlineStr">
        <is>
          <t>Doors</t>
        </is>
      </c>
      <c r="C24" s="2" t="n">
        <v>23</v>
      </c>
      <c r="D24" s="3" t="inlineStr">
        <is>
          <t>Wooden Doors (Leaves &amp; Frames)</t>
        </is>
      </c>
      <c r="E24" s="2" t="inlineStr">
        <is>
          <t>2 | S-02</t>
        </is>
      </c>
      <c r="F24" s="2" t="n"/>
      <c r="G24" s="3" t="inlineStr">
        <is>
          <t>Outside living sliding louver doors</t>
        </is>
      </c>
      <c r="H24" s="3" t="inlineStr">
        <is>
          <t>Outdoor living</t>
        </is>
      </c>
      <c r="I24" s="2" t="n"/>
      <c r="J24" s="2" t="inlineStr">
        <is>
          <t>Teak hardwood + tempered glass</t>
        </is>
      </c>
      <c r="K24" s="4" t="n">
        <v>1</v>
      </c>
      <c r="L24" s="2" t="n"/>
      <c r="M24" s="2" t="inlineStr">
        <is>
          <t>no</t>
        </is>
      </c>
      <c r="N24" s="2" t="inlineStr">
        <is>
          <t>A11-02</t>
        </is>
      </c>
      <c r="O24" s="2" t="inlineStr">
        <is>
          <t>in_progress</t>
        </is>
      </c>
      <c r="P24" s="2" t="inlineStr">
        <is>
          <t>not_started</t>
        </is>
      </c>
      <c r="Q24" s="2" t="inlineStr">
        <is>
          <t>not_started</t>
        </is>
      </c>
      <c r="R24" s="2" t="n"/>
      <c r="S24" s="2" t="n"/>
      <c r="T24" s="3" t="inlineStr">
        <is>
          <t>Sliding louver on track</t>
        </is>
      </c>
      <c r="U24" s="2" t="inlineStr">
        <is>
          <t>03 Doors</t>
        </is>
      </c>
      <c r="V24" s="2" t="n">
        <v>16</v>
      </c>
      <c r="W24" s="5" t="n">
        <v>46272.71873991584</v>
      </c>
      <c r="X24" s="2" t="inlineStr">
        <is>
          <t>system</t>
        </is>
      </c>
      <c r="Y24" s="2" t="inlineStr">
        <is>
          <t>c057549c-7866-5f36-b38c-cf6caa230349</t>
        </is>
      </c>
    </row>
    <row r="25">
      <c r="A25" s="6" t="inlineStr">
        <is>
          <t>03</t>
        </is>
      </c>
      <c r="B25" s="6" t="inlineStr">
        <is>
          <t>Doors</t>
        </is>
      </c>
      <c r="C25" s="6" t="n">
        <v>24</v>
      </c>
      <c r="D25" s="7" t="inlineStr">
        <is>
          <t>Wooden Doors (Leaves &amp; Frames)</t>
        </is>
      </c>
      <c r="E25" s="6" t="inlineStr">
        <is>
          <t>3 | D-01</t>
        </is>
      </c>
      <c r="F25" s="6" t="n"/>
      <c r="G25" s="7" t="inlineStr">
        <is>
          <t>Entrance door - fixed + swinging</t>
        </is>
      </c>
      <c r="H25" s="7" t="inlineStr">
        <is>
          <t>Entrance</t>
        </is>
      </c>
      <c r="I25" s="6" t="n"/>
      <c r="J25" s="6" t="inlineStr">
        <is>
          <t>Teak hardwood / plywood</t>
        </is>
      </c>
      <c r="K25" s="8" t="n">
        <v>1</v>
      </c>
      <c r="L25" s="6" t="n"/>
      <c r="M25" s="6" t="inlineStr">
        <is>
          <t>no</t>
        </is>
      </c>
      <c r="N25" s="6" t="inlineStr">
        <is>
          <t>A11-02</t>
        </is>
      </c>
      <c r="O25" s="6" t="inlineStr">
        <is>
          <t>in_progress</t>
        </is>
      </c>
      <c r="P25" s="6" t="inlineStr">
        <is>
          <t>not_started</t>
        </is>
      </c>
      <c r="Q25" s="6" t="inlineStr">
        <is>
          <t>not_started</t>
        </is>
      </c>
      <c r="R25" s="6" t="n"/>
      <c r="S25" s="6" t="n"/>
      <c r="T25" s="7" t="inlineStr">
        <is>
          <t>6 concealed hinges</t>
        </is>
      </c>
      <c r="U25" s="6" t="inlineStr">
        <is>
          <t>03 Doors</t>
        </is>
      </c>
      <c r="V25" s="6" t="n">
        <v>17</v>
      </c>
      <c r="W25" s="9" t="n">
        <v>46272.71873991584</v>
      </c>
      <c r="X25" s="6" t="inlineStr">
        <is>
          <t>system</t>
        </is>
      </c>
      <c r="Y25" s="6" t="inlineStr">
        <is>
          <t>b45b5c29-f72b-5331-9a1e-99eec0076478</t>
        </is>
      </c>
    </row>
    <row r="26">
      <c r="A26" s="2" t="inlineStr">
        <is>
          <t>03</t>
        </is>
      </c>
      <c r="B26" s="2" t="inlineStr">
        <is>
          <t>Doors</t>
        </is>
      </c>
      <c r="C26" s="2" t="n">
        <v>25</v>
      </c>
      <c r="D26" s="3" t="inlineStr">
        <is>
          <t>Wooden Doors (Leaves &amp; Frames)</t>
        </is>
      </c>
      <c r="E26" s="2" t="inlineStr">
        <is>
          <t>4 | D-02</t>
        </is>
      </c>
      <c r="F26" s="2" t="n"/>
      <c r="G26" s="3" t="inlineStr">
        <is>
          <t>Bathroom door - swinging</t>
        </is>
      </c>
      <c r="H26" s="3" t="inlineStr">
        <is>
          <t>Bathroom</t>
        </is>
      </c>
      <c r="I26" s="2" t="n"/>
      <c r="J26" s="2" t="inlineStr">
        <is>
          <t>Teak hardwood / plywood</t>
        </is>
      </c>
      <c r="K26" s="4" t="n">
        <v>1</v>
      </c>
      <c r="L26" s="2" t="n"/>
      <c r="M26" s="2" t="inlineStr">
        <is>
          <t>no</t>
        </is>
      </c>
      <c r="N26" s="2" t="inlineStr">
        <is>
          <t>A11-03</t>
        </is>
      </c>
      <c r="O26" s="2" t="inlineStr">
        <is>
          <t>in_progress</t>
        </is>
      </c>
      <c r="P26" s="2" t="inlineStr">
        <is>
          <t>not_started</t>
        </is>
      </c>
      <c r="Q26" s="2" t="inlineStr">
        <is>
          <t>not_started</t>
        </is>
      </c>
      <c r="R26" s="2" t="n"/>
      <c r="S26" s="2" t="n"/>
      <c r="T26" s="3" t="n"/>
      <c r="U26" s="2" t="inlineStr">
        <is>
          <t>03 Doors</t>
        </is>
      </c>
      <c r="V26" s="2" t="n">
        <v>18</v>
      </c>
      <c r="W26" s="5" t="n">
        <v>46272.71873991584</v>
      </c>
      <c r="X26" s="2" t="inlineStr">
        <is>
          <t>system</t>
        </is>
      </c>
      <c r="Y26" s="2" t="inlineStr">
        <is>
          <t>bc641b8f-2faf-5cf9-b8fd-2fc792b9ef72</t>
        </is>
      </c>
    </row>
    <row r="27">
      <c r="A27" s="6" t="inlineStr">
        <is>
          <t>03</t>
        </is>
      </c>
      <c r="B27" s="6" t="inlineStr">
        <is>
          <t>Doors</t>
        </is>
      </c>
      <c r="C27" s="6" t="n">
        <v>26</v>
      </c>
      <c r="D27" s="7" t="inlineStr">
        <is>
          <t>Wooden Doors (Leaves &amp; Frames)</t>
        </is>
      </c>
      <c r="E27" s="6" t="inlineStr">
        <is>
          <t>5 | D-03</t>
        </is>
      </c>
      <c r="F27" s="6" t="n"/>
      <c r="G27" s="7" t="inlineStr">
        <is>
          <t>Walk-in closet - sliding louvered doors</t>
        </is>
      </c>
      <c r="H27" s="7" t="inlineStr">
        <is>
          <t>Closet</t>
        </is>
      </c>
      <c r="I27" s="6" t="n"/>
      <c r="J27" s="6" t="inlineStr">
        <is>
          <t>Teak hardwood / plywood</t>
        </is>
      </c>
      <c r="K27" s="8" t="n">
        <v>1</v>
      </c>
      <c r="L27" s="6" t="n"/>
      <c r="M27" s="6" t="inlineStr">
        <is>
          <t>no</t>
        </is>
      </c>
      <c r="N27" s="6" t="inlineStr">
        <is>
          <t>A11-03</t>
        </is>
      </c>
      <c r="O27" s="6" t="inlineStr">
        <is>
          <t>in_progress</t>
        </is>
      </c>
      <c r="P27" s="6" t="inlineStr">
        <is>
          <t>not_started</t>
        </is>
      </c>
      <c r="Q27" s="6" t="inlineStr">
        <is>
          <t>not_started</t>
        </is>
      </c>
      <c r="R27" s="6" t="n"/>
      <c r="S27" s="6" t="n"/>
      <c r="T27" s="7" t="n"/>
      <c r="U27" s="6" t="inlineStr">
        <is>
          <t>03 Doors</t>
        </is>
      </c>
      <c r="V27" s="6" t="n">
        <v>19</v>
      </c>
      <c r="W27" s="9" t="n">
        <v>46272.71873991584</v>
      </c>
      <c r="X27" s="6" t="inlineStr">
        <is>
          <t>system</t>
        </is>
      </c>
      <c r="Y27" s="6" t="inlineStr">
        <is>
          <t>cc2d554a-324a-56e3-950a-f7e1098937a7</t>
        </is>
      </c>
    </row>
    <row r="28">
      <c r="A28" s="2" t="inlineStr">
        <is>
          <t>03</t>
        </is>
      </c>
      <c r="B28" s="2" t="inlineStr">
        <is>
          <t>Doors</t>
        </is>
      </c>
      <c r="C28" s="2" t="n">
        <v>27</v>
      </c>
      <c r="D28" s="3" t="inlineStr">
        <is>
          <t>Wooden Doors (Leaves &amp; Frames)</t>
        </is>
      </c>
      <c r="E28" s="2" t="inlineStr">
        <is>
          <t>6 | D-04</t>
        </is>
      </c>
      <c r="F28" s="2" t="n"/>
      <c r="G28" s="3" t="inlineStr">
        <is>
          <t>W.C. door - swinging</t>
        </is>
      </c>
      <c r="H28" s="3" t="inlineStr">
        <is>
          <t>W.C.</t>
        </is>
      </c>
      <c r="I28" s="2" t="n"/>
      <c r="J28" s="2" t="inlineStr">
        <is>
          <t>Teak hardwood / plywood</t>
        </is>
      </c>
      <c r="K28" s="4" t="n">
        <v>1</v>
      </c>
      <c r="L28" s="2" t="n"/>
      <c r="M28" s="2" t="inlineStr">
        <is>
          <t>no</t>
        </is>
      </c>
      <c r="N28" s="2" t="inlineStr">
        <is>
          <t>A11-04</t>
        </is>
      </c>
      <c r="O28" s="2" t="inlineStr">
        <is>
          <t>in_progress</t>
        </is>
      </c>
      <c r="P28" s="2" t="inlineStr">
        <is>
          <t>not_started</t>
        </is>
      </c>
      <c r="Q28" s="2" t="inlineStr">
        <is>
          <t>not_started</t>
        </is>
      </c>
      <c r="R28" s="2" t="n"/>
      <c r="S28" s="2" t="n"/>
      <c r="T28" s="3" t="n"/>
      <c r="U28" s="2" t="inlineStr">
        <is>
          <t>03 Doors</t>
        </is>
      </c>
      <c r="V28" s="2" t="n">
        <v>20</v>
      </c>
      <c r="W28" s="5" t="n">
        <v>46272.71873991584</v>
      </c>
      <c r="X28" s="2" t="inlineStr">
        <is>
          <t>system</t>
        </is>
      </c>
      <c r="Y28" s="2" t="inlineStr">
        <is>
          <t>70ed8b93-9169-58a6-8682-847c3450ef92</t>
        </is>
      </c>
    </row>
    <row r="29">
      <c r="A29" s="6" t="inlineStr">
        <is>
          <t>04</t>
        </is>
      </c>
      <c r="B29" s="6" t="inlineStr">
        <is>
          <t>Glazing</t>
        </is>
      </c>
      <c r="C29" s="6" t="n">
        <v>28</v>
      </c>
      <c r="D29" s="7" t="inlineStr">
        <is>
          <t>Glass &amp; Framing</t>
        </is>
      </c>
      <c r="E29" s="6" t="inlineStr">
        <is>
          <t>1 | GL.01</t>
        </is>
      </c>
      <c r="F29" s="6" t="n"/>
      <c r="G29" s="7" t="inlineStr">
        <is>
          <t>Sliding glazed door into pocket (19 ft 9 in x 9 ft 3-3/4 in)</t>
        </is>
      </c>
      <c r="H29" s="7" t="inlineStr">
        <is>
          <t>Bedroom</t>
        </is>
      </c>
      <c r="I29" s="6" t="inlineStr">
        <is>
          <t>Assumed ES Windows</t>
        </is>
      </c>
      <c r="J29" s="6" t="inlineStr">
        <is>
          <t>Clear glass; structural aluminium, custom anodized</t>
        </is>
      </c>
      <c r="K29" s="8" t="n">
        <v>1</v>
      </c>
      <c r="L29" s="6" t="n"/>
      <c r="M29" s="6" t="inlineStr">
        <is>
          <t>no</t>
        </is>
      </c>
      <c r="N29" s="6" t="inlineStr">
        <is>
          <t>A12-02</t>
        </is>
      </c>
      <c r="O29" s="6" t="inlineStr">
        <is>
          <t>in_progress</t>
        </is>
      </c>
      <c r="P29" s="6" t="inlineStr">
        <is>
          <t>not_started</t>
        </is>
      </c>
      <c r="Q29" s="6" t="inlineStr">
        <is>
          <t>not_started</t>
        </is>
      </c>
      <c r="R29" s="6" t="n"/>
      <c r="S29" s="6" t="n"/>
      <c r="T29" s="7" t="n"/>
      <c r="U29" s="6" t="inlineStr">
        <is>
          <t>04 Glazing</t>
        </is>
      </c>
      <c r="V29" s="6" t="n">
        <v>5</v>
      </c>
      <c r="W29" s="9" t="n">
        <v>46272.71873991584</v>
      </c>
      <c r="X29" s="6" t="inlineStr">
        <is>
          <t>system</t>
        </is>
      </c>
      <c r="Y29" s="6" t="inlineStr">
        <is>
          <t>d7e13977-0951-59ba-bb3a-a878e51915ec</t>
        </is>
      </c>
    </row>
    <row r="30">
      <c r="A30" s="2" t="inlineStr">
        <is>
          <t>04</t>
        </is>
      </c>
      <c r="B30" s="2" t="inlineStr">
        <is>
          <t>Glazing</t>
        </is>
      </c>
      <c r="C30" s="2" t="n">
        <v>29</v>
      </c>
      <c r="D30" s="3" t="inlineStr">
        <is>
          <t>Glass &amp; Framing</t>
        </is>
      </c>
      <c r="E30" s="2" t="inlineStr">
        <is>
          <t>2 | GL.02</t>
        </is>
      </c>
      <c r="F30" s="2" t="n"/>
      <c r="G30" s="3" t="inlineStr">
        <is>
          <t>Sliding glazed door into pocket (8 ft 1-1/2 in x 9 ft 3-3/4 in)</t>
        </is>
      </c>
      <c r="H30" s="3" t="inlineStr">
        <is>
          <t>Bathroom</t>
        </is>
      </c>
      <c r="I30" s="2" t="inlineStr">
        <is>
          <t>Assumed ES Windows</t>
        </is>
      </c>
      <c r="J30" s="2" t="inlineStr">
        <is>
          <t>Clear glass; structural aluminium, custom anodized</t>
        </is>
      </c>
      <c r="K30" s="4" t="n">
        <v>1</v>
      </c>
      <c r="L30" s="2" t="n"/>
      <c r="M30" s="2" t="inlineStr">
        <is>
          <t>no</t>
        </is>
      </c>
      <c r="N30" s="2" t="inlineStr">
        <is>
          <t>A12-02</t>
        </is>
      </c>
      <c r="O30" s="2" t="inlineStr">
        <is>
          <t>in_progress</t>
        </is>
      </c>
      <c r="P30" s="2" t="inlineStr">
        <is>
          <t>not_started</t>
        </is>
      </c>
      <c r="Q30" s="2" t="inlineStr">
        <is>
          <t>not_started</t>
        </is>
      </c>
      <c r="R30" s="2" t="n"/>
      <c r="S30" s="2" t="n"/>
      <c r="T30" s="3" t="n"/>
      <c r="U30" s="2" t="inlineStr">
        <is>
          <t>04 Glazing</t>
        </is>
      </c>
      <c r="V30" s="2" t="n">
        <v>6</v>
      </c>
      <c r="W30" s="5" t="n">
        <v>46272.71873991584</v>
      </c>
      <c r="X30" s="2" t="inlineStr">
        <is>
          <t>system</t>
        </is>
      </c>
      <c r="Y30" s="2" t="inlineStr">
        <is>
          <t>25508ff0-f55a-551e-b15b-13a62b0879eb</t>
        </is>
      </c>
    </row>
    <row r="31">
      <c r="A31" s="6" t="inlineStr">
        <is>
          <t>04</t>
        </is>
      </c>
      <c r="B31" s="6" t="inlineStr">
        <is>
          <t>Glazing</t>
        </is>
      </c>
      <c r="C31" s="6" t="n">
        <v>30</v>
      </c>
      <c r="D31" s="7" t="inlineStr">
        <is>
          <t>Glass &amp; Framing</t>
        </is>
      </c>
      <c r="E31" s="6" t="inlineStr">
        <is>
          <t>3 | GL.03</t>
        </is>
      </c>
      <c r="F31" s="6" t="n"/>
      <c r="G31" s="7" t="inlineStr">
        <is>
          <t>Fixed window (4 ft 1 in x 9 ft 3-3/4 in)</t>
        </is>
      </c>
      <c r="H31" s="7" t="inlineStr">
        <is>
          <t>Bedroom/entrance/bath</t>
        </is>
      </c>
      <c r="I31" s="6" t="inlineStr">
        <is>
          <t>Assumed ES Windows</t>
        </is>
      </c>
      <c r="J31" s="6" t="inlineStr">
        <is>
          <t>Clear glass; structural aluminium, custom anodized</t>
        </is>
      </c>
      <c r="K31" s="8" t="n">
        <v>5</v>
      </c>
      <c r="L31" s="6" t="n"/>
      <c r="M31" s="6" t="inlineStr">
        <is>
          <t>no</t>
        </is>
      </c>
      <c r="N31" s="6" t="inlineStr">
        <is>
          <t>A12-02</t>
        </is>
      </c>
      <c r="O31" s="6" t="inlineStr">
        <is>
          <t>in_progress</t>
        </is>
      </c>
      <c r="P31" s="6" t="inlineStr">
        <is>
          <t>not_started</t>
        </is>
      </c>
      <c r="Q31" s="6" t="inlineStr">
        <is>
          <t>not_started</t>
        </is>
      </c>
      <c r="R31" s="6" t="n"/>
      <c r="S31" s="6" t="n"/>
      <c r="T31" s="7" t="n"/>
      <c r="U31" s="6" t="inlineStr">
        <is>
          <t>04 Glazing</t>
        </is>
      </c>
      <c r="V31" s="6" t="n">
        <v>7</v>
      </c>
      <c r="W31" s="9" t="n">
        <v>46272.71873991584</v>
      </c>
      <c r="X31" s="6" t="inlineStr">
        <is>
          <t>system</t>
        </is>
      </c>
      <c r="Y31" s="6" t="inlineStr">
        <is>
          <t>5ceeec99-8640-5491-934a-e50ed60e3aa7</t>
        </is>
      </c>
    </row>
    <row r="32">
      <c r="A32" s="2" t="inlineStr">
        <is>
          <t>04</t>
        </is>
      </c>
      <c r="B32" s="2" t="inlineStr">
        <is>
          <t>Glazing</t>
        </is>
      </c>
      <c r="C32" s="2" t="n">
        <v>31</v>
      </c>
      <c r="D32" s="3" t="inlineStr">
        <is>
          <t>Glass &amp; Framing</t>
        </is>
      </c>
      <c r="E32" s="2" t="inlineStr">
        <is>
          <t>4 | GL.04</t>
        </is>
      </c>
      <c r="F32" s="2" t="n"/>
      <c r="G32" s="3" t="inlineStr">
        <is>
          <t>Fixed window (1 ft 6 in x 9 ft 3-3/4 in)</t>
        </is>
      </c>
      <c r="H32" s="3" t="inlineStr">
        <is>
          <t>Bathroom</t>
        </is>
      </c>
      <c r="I32" s="2" t="inlineStr">
        <is>
          <t>Assumed ES Windows</t>
        </is>
      </c>
      <c r="J32" s="2" t="inlineStr">
        <is>
          <t>Clear glass; structural aluminium, custom anodized</t>
        </is>
      </c>
      <c r="K32" s="4" t="n">
        <v>2</v>
      </c>
      <c r="L32" s="2" t="n"/>
      <c r="M32" s="2" t="inlineStr">
        <is>
          <t>no</t>
        </is>
      </c>
      <c r="N32" s="2" t="inlineStr">
        <is>
          <t>A12-02</t>
        </is>
      </c>
      <c r="O32" s="2" t="inlineStr">
        <is>
          <t>in_progress</t>
        </is>
      </c>
      <c r="P32" s="2" t="inlineStr">
        <is>
          <t>not_started</t>
        </is>
      </c>
      <c r="Q32" s="2" t="inlineStr">
        <is>
          <t>not_started</t>
        </is>
      </c>
      <c r="R32" s="2" t="n"/>
      <c r="S32" s="2" t="n"/>
      <c r="T32" s="3" t="n"/>
      <c r="U32" s="2" t="inlineStr">
        <is>
          <t>04 Glazing</t>
        </is>
      </c>
      <c r="V32" s="2" t="n">
        <v>8</v>
      </c>
      <c r="W32" s="5" t="n">
        <v>46272.71873991584</v>
      </c>
      <c r="X32" s="2" t="inlineStr">
        <is>
          <t>system</t>
        </is>
      </c>
      <c r="Y32" s="2" t="inlineStr">
        <is>
          <t>d18ffb9e-8b5a-5a29-b4f3-7f9ded68b680</t>
        </is>
      </c>
    </row>
    <row r="33">
      <c r="A33" s="6" t="inlineStr">
        <is>
          <t>04</t>
        </is>
      </c>
      <c r="B33" s="6" t="inlineStr">
        <is>
          <t>Glazing</t>
        </is>
      </c>
      <c r="C33" s="6" t="n">
        <v>32</v>
      </c>
      <c r="D33" s="7" t="inlineStr">
        <is>
          <t>Glass &amp; Framing</t>
        </is>
      </c>
      <c r="E33" s="6" t="inlineStr">
        <is>
          <t>5 | GL.05</t>
        </is>
      </c>
      <c r="F33" s="6" t="n"/>
      <c r="G33" s="7" t="inlineStr">
        <is>
          <t>Sliding glazed door into pocket (11 ft 11-1/2 in x 9 ft 3-3/4 in)</t>
        </is>
      </c>
      <c r="H33" s="7" t="inlineStr">
        <is>
          <t>Bedroom</t>
        </is>
      </c>
      <c r="I33" s="6" t="inlineStr">
        <is>
          <t>Assumed ES Windows</t>
        </is>
      </c>
      <c r="J33" s="6" t="inlineStr">
        <is>
          <t>Clear glass; structural aluminium, custom anodized</t>
        </is>
      </c>
      <c r="K33" s="8" t="n">
        <v>1</v>
      </c>
      <c r="L33" s="6" t="n"/>
      <c r="M33" s="6" t="inlineStr">
        <is>
          <t>no</t>
        </is>
      </c>
      <c r="N33" s="6" t="inlineStr">
        <is>
          <t>A12-03</t>
        </is>
      </c>
      <c r="O33" s="6" t="inlineStr">
        <is>
          <t>in_progress</t>
        </is>
      </c>
      <c r="P33" s="6" t="inlineStr">
        <is>
          <t>not_started</t>
        </is>
      </c>
      <c r="Q33" s="6" t="inlineStr">
        <is>
          <t>not_started</t>
        </is>
      </c>
      <c r="R33" s="6" t="n"/>
      <c r="S33" s="6" t="n"/>
      <c r="T33" s="7" t="n"/>
      <c r="U33" s="6" t="inlineStr">
        <is>
          <t>04 Glazing</t>
        </is>
      </c>
      <c r="V33" s="6" t="n">
        <v>9</v>
      </c>
      <c r="W33" s="9" t="n">
        <v>46272.71873991584</v>
      </c>
      <c r="X33" s="6" t="inlineStr">
        <is>
          <t>system</t>
        </is>
      </c>
      <c r="Y33" s="6" t="inlineStr">
        <is>
          <t>fa0c151a-df9d-5d07-a183-b9750b07c7d2</t>
        </is>
      </c>
    </row>
    <row r="34">
      <c r="A34" s="2" t="inlineStr">
        <is>
          <t>04</t>
        </is>
      </c>
      <c r="B34" s="2" t="inlineStr">
        <is>
          <t>Glazing</t>
        </is>
      </c>
      <c r="C34" s="2" t="n">
        <v>33</v>
      </c>
      <c r="D34" s="3" t="inlineStr">
        <is>
          <t>Glass &amp; Framing</t>
        </is>
      </c>
      <c r="E34" s="2" t="inlineStr">
        <is>
          <t>6 | GL.06</t>
        </is>
      </c>
      <c r="F34" s="2" t="n"/>
      <c r="G34" s="3" t="inlineStr">
        <is>
          <t>Fixed window (small, bathroom)</t>
        </is>
      </c>
      <c r="H34" s="3" t="inlineStr">
        <is>
          <t>Bathroom</t>
        </is>
      </c>
      <c r="I34" s="2" t="inlineStr">
        <is>
          <t>Assumed ES Windows</t>
        </is>
      </c>
      <c r="J34" s="2" t="inlineStr">
        <is>
          <t>Clear glass; structural aluminium, custom anodized</t>
        </is>
      </c>
      <c r="K34" s="4" t="n">
        <v>1</v>
      </c>
      <c r="L34" s="2" t="n"/>
      <c r="M34" s="2" t="inlineStr">
        <is>
          <t>no</t>
        </is>
      </c>
      <c r="N34" s="2" t="inlineStr">
        <is>
          <t>A12-03</t>
        </is>
      </c>
      <c r="O34" s="2" t="inlineStr">
        <is>
          <t>in_progress</t>
        </is>
      </c>
      <c r="P34" s="2" t="inlineStr">
        <is>
          <t>not_started</t>
        </is>
      </c>
      <c r="Q34" s="2" t="inlineStr">
        <is>
          <t>not_started</t>
        </is>
      </c>
      <c r="R34" s="2" t="n"/>
      <c r="S34" s="2" t="n"/>
      <c r="T34" s="3" t="n"/>
      <c r="U34" s="2" t="inlineStr">
        <is>
          <t>04 Glazing</t>
        </is>
      </c>
      <c r="V34" s="2" t="n">
        <v>10</v>
      </c>
      <c r="W34" s="5" t="n">
        <v>46272.71873991584</v>
      </c>
      <c r="X34" s="2" t="inlineStr">
        <is>
          <t>system</t>
        </is>
      </c>
      <c r="Y34" s="2" t="inlineStr">
        <is>
          <t>59c26166-d9ea-5b3a-9e9f-403167669336</t>
        </is>
      </c>
    </row>
    <row r="35">
      <c r="A35" s="6" t="inlineStr">
        <is>
          <t>04</t>
        </is>
      </c>
      <c r="B35" s="6" t="inlineStr">
        <is>
          <t>Glazing</t>
        </is>
      </c>
      <c r="C35" s="6" t="n">
        <v>34</v>
      </c>
      <c r="D35" s="7" t="inlineStr">
        <is>
          <t>Glass &amp; Framing</t>
        </is>
      </c>
      <c r="E35" s="6" t="inlineStr">
        <is>
          <t>7 | GL.07</t>
        </is>
      </c>
      <c r="F35" s="6" t="n"/>
      <c r="G35" s="7" t="inlineStr">
        <is>
          <t>Swinging (hinged) glazed door (2 ft 8 in x 9 ft)</t>
        </is>
      </c>
      <c r="H35" s="7" t="inlineStr">
        <is>
          <t>Bathroom</t>
        </is>
      </c>
      <c r="I35" s="6" t="inlineStr">
        <is>
          <t>Assumed ES Windows</t>
        </is>
      </c>
      <c r="J35" s="6" t="inlineStr">
        <is>
          <t>Clear glass; structural aluminium, custom anodized</t>
        </is>
      </c>
      <c r="K35" s="8" t="n">
        <v>1</v>
      </c>
      <c r="L35" s="6" t="n"/>
      <c r="M35" s="6" t="inlineStr">
        <is>
          <t>no</t>
        </is>
      </c>
      <c r="N35" s="6" t="inlineStr">
        <is>
          <t>A12-03</t>
        </is>
      </c>
      <c r="O35" s="6" t="inlineStr">
        <is>
          <t>in_progress</t>
        </is>
      </c>
      <c r="P35" s="6" t="inlineStr">
        <is>
          <t>not_started</t>
        </is>
      </c>
      <c r="Q35" s="6" t="inlineStr">
        <is>
          <t>not_started</t>
        </is>
      </c>
      <c r="R35" s="6" t="n"/>
      <c r="S35" s="6" t="n"/>
      <c r="T35" s="7" t="n"/>
      <c r="U35" s="6" t="inlineStr">
        <is>
          <t>04 Glazing</t>
        </is>
      </c>
      <c r="V35" s="6" t="n">
        <v>11</v>
      </c>
      <c r="W35" s="9" t="n">
        <v>46272.71873991584</v>
      </c>
      <c r="X35" s="6" t="inlineStr">
        <is>
          <t>system</t>
        </is>
      </c>
      <c r="Y35" s="6" t="inlineStr">
        <is>
          <t>cd86c126-568f-51d0-8cdd-097e6feac535</t>
        </is>
      </c>
    </row>
    <row r="36">
      <c r="A36" s="2" t="inlineStr">
        <is>
          <t>04</t>
        </is>
      </c>
      <c r="B36" s="2" t="inlineStr">
        <is>
          <t>Glazing</t>
        </is>
      </c>
      <c r="C36" s="2" t="n">
        <v>35</v>
      </c>
      <c r="D36" s="3" t="inlineStr">
        <is>
          <t>Glass &amp; Framing</t>
        </is>
      </c>
      <c r="E36" s="2" t="inlineStr">
        <is>
          <t>8 | GL.08</t>
        </is>
      </c>
      <c r="F36" s="2" t="n"/>
      <c r="G36" s="3" t="inlineStr">
        <is>
          <t>Swinging (hinged) glazed door (4 ft 1 in x 9 ft 3-3/4 in)</t>
        </is>
      </c>
      <c r="H36" s="3" t="inlineStr">
        <is>
          <t>Bathroom</t>
        </is>
      </c>
      <c r="I36" s="2" t="inlineStr">
        <is>
          <t>Assumed ES Windows</t>
        </is>
      </c>
      <c r="J36" s="2" t="inlineStr">
        <is>
          <t>Clear glass; structural aluminium, custom anodized</t>
        </is>
      </c>
      <c r="K36" s="4" t="n">
        <v>1</v>
      </c>
      <c r="L36" s="2" t="n"/>
      <c r="M36" s="2" t="inlineStr">
        <is>
          <t>no</t>
        </is>
      </c>
      <c r="N36" s="2" t="inlineStr">
        <is>
          <t>A12-03</t>
        </is>
      </c>
      <c r="O36" s="2" t="inlineStr">
        <is>
          <t>in_progress</t>
        </is>
      </c>
      <c r="P36" s="2" t="inlineStr">
        <is>
          <t>not_started</t>
        </is>
      </c>
      <c r="Q36" s="2" t="inlineStr">
        <is>
          <t>not_started</t>
        </is>
      </c>
      <c r="R36" s="2" t="n"/>
      <c r="S36" s="2" t="n"/>
      <c r="T36" s="3" t="n"/>
      <c r="U36" s="2" t="inlineStr">
        <is>
          <t>04 Glazing</t>
        </is>
      </c>
      <c r="V36" s="2" t="n">
        <v>12</v>
      </c>
      <c r="W36" s="5" t="n">
        <v>46272.71873991584</v>
      </c>
      <c r="X36" s="2" t="inlineStr">
        <is>
          <t>system</t>
        </is>
      </c>
      <c r="Y36" s="2" t="inlineStr">
        <is>
          <t>03ad0bc7-6258-59b3-a8c1-41e36e2ab238</t>
        </is>
      </c>
    </row>
    <row r="37">
      <c r="A37" s="6" t="inlineStr">
        <is>
          <t>04</t>
        </is>
      </c>
      <c r="B37" s="6" t="inlineStr">
        <is>
          <t>Glazing</t>
        </is>
      </c>
      <c r="C37" s="6" t="n">
        <v>36</v>
      </c>
      <c r="D37" s="7" t="inlineStr">
        <is>
          <t>Glazing Hardware &amp; Sliding Gear</t>
        </is>
      </c>
      <c r="E37" s="6" t="inlineStr">
        <is>
          <t>1</t>
        </is>
      </c>
      <c r="F37" s="6" t="n"/>
      <c r="G37" s="7" t="inlineStr">
        <is>
          <t>Double handle with invisible integrated lock</t>
        </is>
      </c>
      <c r="H37" s="7" t="inlineStr">
        <is>
          <t>Glazed doors</t>
        </is>
      </c>
      <c r="I37" s="6" t="inlineStr">
        <is>
          <t>Ottima</t>
        </is>
      </c>
      <c r="J37" s="6" t="n"/>
      <c r="K37" s="8" t="n">
        <v>5</v>
      </c>
      <c r="L37" s="6" t="n"/>
      <c r="M37" s="6" t="inlineStr">
        <is>
          <t>set</t>
        </is>
      </c>
      <c r="N37" s="6" t="inlineStr">
        <is>
          <t>A12-02/03</t>
        </is>
      </c>
      <c r="O37" s="6" t="inlineStr">
        <is>
          <t>in_progress</t>
        </is>
      </c>
      <c r="P37" s="6" t="inlineStr">
        <is>
          <t>not_started</t>
        </is>
      </c>
      <c r="Q37" s="6" t="inlineStr">
        <is>
          <t>not_started</t>
        </is>
      </c>
      <c r="R37" s="6" t="n"/>
      <c r="S37" s="6" t="n"/>
      <c r="T37" s="7" t="n"/>
      <c r="U37" s="6" t="inlineStr">
        <is>
          <t>04 Glazing</t>
        </is>
      </c>
      <c r="V37" s="6" t="n">
        <v>13</v>
      </c>
      <c r="W37" s="9" t="n">
        <v>46272.71873991584</v>
      </c>
      <c r="X37" s="6" t="inlineStr">
        <is>
          <t>system</t>
        </is>
      </c>
      <c r="Y37" s="6" t="inlineStr">
        <is>
          <t>4abf8d2d-d6af-5447-99d5-4bc32092e94b</t>
        </is>
      </c>
    </row>
    <row r="38">
      <c r="A38" s="2" t="inlineStr">
        <is>
          <t>05</t>
        </is>
      </c>
      <c r="B38" s="2" t="inlineStr">
        <is>
          <t>FF&amp;E</t>
        </is>
      </c>
      <c r="C38" s="2" t="n">
        <v>37</v>
      </c>
      <c r="D38" s="3" t="inlineStr">
        <is>
          <t>Fabrics</t>
        </is>
      </c>
      <c r="E38" s="2" t="inlineStr">
        <is>
          <t>CUR-01</t>
        </is>
      </c>
      <c r="F38" s="2" t="n"/>
      <c r="G38" s="3" t="inlineStr">
        <is>
          <t>Blackout Curtains Aznar FR Twin Face Blackout 063</t>
        </is>
      </c>
      <c r="H38" s="3" t="inlineStr">
        <is>
          <t>Bedroom</t>
        </is>
      </c>
      <c r="I38" s="2" t="inlineStr">
        <is>
          <t>Aznar Textile</t>
        </is>
      </c>
      <c r="J38" s="2" t="inlineStr">
        <is>
          <t>FR Twin Face Blackout 063</t>
        </is>
      </c>
      <c r="K38" s="2" t="n"/>
      <c r="L38" s="2" t="n"/>
      <c r="M38" s="2" t="n"/>
      <c r="N38" s="2" t="n"/>
      <c r="O38" s="2" t="inlineStr">
        <is>
          <t>unknown</t>
        </is>
      </c>
      <c r="P38" s="2" t="inlineStr">
        <is>
          <t>not_started</t>
        </is>
      </c>
      <c r="Q38" s="2" t="inlineStr">
        <is>
          <t>not_started</t>
        </is>
      </c>
      <c r="R38" s="2" t="n"/>
      <c r="S38" s="2" t="n"/>
      <c r="T38" s="3" t="n"/>
      <c r="U38" s="2" t="inlineStr">
        <is>
          <t>05 FF&amp;E</t>
        </is>
      </c>
      <c r="V38" s="2" t="n">
        <v>5</v>
      </c>
      <c r="W38" s="5" t="n">
        <v>46272.71873991584</v>
      </c>
      <c r="X38" s="2" t="inlineStr">
        <is>
          <t>system</t>
        </is>
      </c>
      <c r="Y38" s="2" t="inlineStr">
        <is>
          <t>067f8f61-9800-59f4-97eb-b8b1d0c16797</t>
        </is>
      </c>
    </row>
    <row r="39">
      <c r="A39" s="6" t="inlineStr">
        <is>
          <t>05</t>
        </is>
      </c>
      <c r="B39" s="6" t="inlineStr">
        <is>
          <t>FF&amp;E</t>
        </is>
      </c>
      <c r="C39" s="6" t="n">
        <v>38</v>
      </c>
      <c r="D39" s="7" t="inlineStr">
        <is>
          <t>Fabrics</t>
        </is>
      </c>
      <c r="E39" s="6" t="inlineStr">
        <is>
          <t>UPH-01</t>
        </is>
      </c>
      <c r="F39" s="6" t="n"/>
      <c r="G39" s="7" t="inlineStr">
        <is>
          <t>Outdoor Fabric Bikaina YP25004 Ausarta Collection</t>
        </is>
      </c>
      <c r="H39" s="7" t="inlineStr">
        <is>
          <t>Bedroom</t>
        </is>
      </c>
      <c r="I39" s="6" t="inlineStr">
        <is>
          <t>Designs of the Time</t>
        </is>
      </c>
      <c r="J39" s="6" t="inlineStr">
        <is>
          <t>Bikaina YP25004 Ausarta Collection</t>
        </is>
      </c>
      <c r="K39" s="6" t="n"/>
      <c r="L39" s="6" t="n"/>
      <c r="M39" s="6" t="n"/>
      <c r="N39" s="6" t="n"/>
      <c r="O39" s="6" t="inlineStr">
        <is>
          <t>unknown</t>
        </is>
      </c>
      <c r="P39" s="6" t="inlineStr">
        <is>
          <t>not_started</t>
        </is>
      </c>
      <c r="Q39" s="6" t="inlineStr">
        <is>
          <t>not_started</t>
        </is>
      </c>
      <c r="R39" s="6" t="n"/>
      <c r="S39" s="6" t="n"/>
      <c r="T39" s="7" t="n"/>
      <c r="U39" s="6" t="inlineStr">
        <is>
          <t>05 FF&amp;E</t>
        </is>
      </c>
      <c r="V39" s="6" t="n">
        <v>6</v>
      </c>
      <c r="W39" s="9" t="n">
        <v>46272.71873991584</v>
      </c>
      <c r="X39" s="6" t="inlineStr">
        <is>
          <t>system</t>
        </is>
      </c>
      <c r="Y39" s="6" t="inlineStr">
        <is>
          <t>de83dfa7-05ac-5676-bb01-3d4d4f53b282</t>
        </is>
      </c>
    </row>
    <row r="40">
      <c r="A40" s="2" t="inlineStr">
        <is>
          <t>05</t>
        </is>
      </c>
      <c r="B40" s="2" t="inlineStr">
        <is>
          <t>FF&amp;E</t>
        </is>
      </c>
      <c r="C40" s="2" t="n">
        <v>39</v>
      </c>
      <c r="D40" s="3" t="inlineStr">
        <is>
          <t>Fabrics</t>
        </is>
      </c>
      <c r="E40" s="2" t="inlineStr">
        <is>
          <t>UPH-02</t>
        </is>
      </c>
      <c r="F40" s="2" t="n"/>
      <c r="G40" s="3" t="inlineStr">
        <is>
          <t>Outdoor Fabric TULUM col. 12</t>
        </is>
      </c>
      <c r="H40" s="3" t="inlineStr">
        <is>
          <t>Bedroom</t>
        </is>
      </c>
      <c r="I40" s="2" t="inlineStr">
        <is>
          <t>Guell la madrid</t>
        </is>
      </c>
      <c r="J40" s="2" t="inlineStr">
        <is>
          <t>TULUM col. 12</t>
        </is>
      </c>
      <c r="K40" s="2" t="n"/>
      <c r="L40" s="2" t="n"/>
      <c r="M40" s="2" t="n"/>
      <c r="N40" s="2" t="n"/>
      <c r="O40" s="2" t="inlineStr">
        <is>
          <t>unknown</t>
        </is>
      </c>
      <c r="P40" s="2" t="inlineStr">
        <is>
          <t>not_started</t>
        </is>
      </c>
      <c r="Q40" s="2" t="inlineStr">
        <is>
          <t>not_started</t>
        </is>
      </c>
      <c r="R40" s="2" t="n"/>
      <c r="S40" s="2" t="n"/>
      <c r="T40" s="3" t="n"/>
      <c r="U40" s="2" t="inlineStr">
        <is>
          <t>05 FF&amp;E</t>
        </is>
      </c>
      <c r="V40" s="2" t="n">
        <v>7</v>
      </c>
      <c r="W40" s="5" t="n">
        <v>46272.71873991584</v>
      </c>
      <c r="X40" s="2" t="inlineStr">
        <is>
          <t>system</t>
        </is>
      </c>
      <c r="Y40" s="2" t="inlineStr">
        <is>
          <t>faa74d0f-6985-5272-a8ec-23a5a338bb3f</t>
        </is>
      </c>
    </row>
    <row r="41">
      <c r="A41" s="6" t="inlineStr">
        <is>
          <t>05</t>
        </is>
      </c>
      <c r="B41" s="6" t="inlineStr">
        <is>
          <t>FF&amp;E</t>
        </is>
      </c>
      <c r="C41" s="6" t="n">
        <v>40</v>
      </c>
      <c r="D41" s="7" t="inlineStr">
        <is>
          <t>Fabrics</t>
        </is>
      </c>
      <c r="E41" s="6" t="inlineStr">
        <is>
          <t>CUR-02</t>
        </is>
      </c>
      <c r="F41" s="6" t="n"/>
      <c r="G41" s="7" t="inlineStr">
        <is>
          <t>Stripe Sheer plum</t>
        </is>
      </c>
      <c r="H41" s="7" t="inlineStr">
        <is>
          <t>Bedroom</t>
        </is>
      </c>
      <c r="I41" s="6" t="inlineStr">
        <is>
          <t>HOLLAND AND SHERRY</t>
        </is>
      </c>
      <c r="J41" s="6" t="inlineStr">
        <is>
          <t>75360 Osian Collection 97501/CB</t>
        </is>
      </c>
      <c r="K41" s="6" t="n"/>
      <c r="L41" s="6" t="n"/>
      <c r="M41" s="6" t="n"/>
      <c r="N41" s="6" t="n"/>
      <c r="O41" s="6" t="inlineStr">
        <is>
          <t>unknown</t>
        </is>
      </c>
      <c r="P41" s="6" t="inlineStr">
        <is>
          <t>not_started</t>
        </is>
      </c>
      <c r="Q41" s="6" t="inlineStr">
        <is>
          <t>not_started</t>
        </is>
      </c>
      <c r="R41" s="6" t="n"/>
      <c r="S41" s="6" t="n"/>
      <c r="T41" s="7" t="n"/>
      <c r="U41" s="6" t="inlineStr">
        <is>
          <t>05 FF&amp;E</t>
        </is>
      </c>
      <c r="V41" s="6" t="n">
        <v>8</v>
      </c>
      <c r="W41" s="9" t="n">
        <v>46272.71873991584</v>
      </c>
      <c r="X41" s="6" t="inlineStr">
        <is>
          <t>system</t>
        </is>
      </c>
      <c r="Y41" s="6" t="inlineStr">
        <is>
          <t>b108dd02-d719-53ea-8654-23c8ebb55414</t>
        </is>
      </c>
    </row>
    <row r="42">
      <c r="A42" s="2" t="inlineStr">
        <is>
          <t>05</t>
        </is>
      </c>
      <c r="B42" s="2" t="inlineStr">
        <is>
          <t>FF&amp;E</t>
        </is>
      </c>
      <c r="C42" s="2" t="n">
        <v>41</v>
      </c>
      <c r="D42" s="3" t="inlineStr">
        <is>
          <t>Fabrics</t>
        </is>
      </c>
      <c r="E42" s="2" t="inlineStr">
        <is>
          <t>RUG-01</t>
        </is>
      </c>
      <c r="F42" s="2" t="n"/>
      <c r="G42" s="3" t="inlineStr">
        <is>
          <t>Mioro Outdoor Rug 0225 by Margrethe Odgaard</t>
        </is>
      </c>
      <c r="H42" s="3" t="inlineStr">
        <is>
          <t>Bedroom</t>
        </is>
      </c>
      <c r="I42" s="2" t="inlineStr">
        <is>
          <t>Kvadrat</t>
        </is>
      </c>
      <c r="J42" s="2" t="inlineStr">
        <is>
          <t>Mioro Outdoor</t>
        </is>
      </c>
      <c r="K42" s="2" t="n"/>
      <c r="L42" s="2" t="n"/>
      <c r="M42" s="2" t="n"/>
      <c r="N42" s="2" t="n"/>
      <c r="O42" s="2" t="inlineStr">
        <is>
          <t>unknown</t>
        </is>
      </c>
      <c r="P42" s="2" t="inlineStr">
        <is>
          <t>not_started</t>
        </is>
      </c>
      <c r="Q42" s="2" t="inlineStr">
        <is>
          <t>not_started</t>
        </is>
      </c>
      <c r="R42" s="10" t="inlineStr">
        <is>
          <t>https://www.kvadrat.dk/en/products/rugs/20157-mioro-outdoor</t>
        </is>
      </c>
      <c r="S42" s="2" t="n"/>
      <c r="T42" s="3" t="n"/>
      <c r="U42" s="2" t="inlineStr">
        <is>
          <t>05 FF&amp;E</t>
        </is>
      </c>
      <c r="V42" s="2" t="n">
        <v>9</v>
      </c>
      <c r="W42" s="5" t="n">
        <v>46272.71873991584</v>
      </c>
      <c r="X42" s="2" t="inlineStr">
        <is>
          <t>system</t>
        </is>
      </c>
      <c r="Y42" s="2" t="inlineStr">
        <is>
          <t>7b03f1f7-5b72-50cf-84a8-da47307c796a</t>
        </is>
      </c>
    </row>
    <row r="43">
      <c r="A43" s="6" t="inlineStr">
        <is>
          <t>05</t>
        </is>
      </c>
      <c r="B43" s="6" t="inlineStr">
        <is>
          <t>FF&amp;E</t>
        </is>
      </c>
      <c r="C43" s="6" t="n">
        <v>42</v>
      </c>
      <c r="D43" s="7" t="inlineStr">
        <is>
          <t>Fabrics</t>
        </is>
      </c>
      <c r="E43" s="6" t="inlineStr">
        <is>
          <t>UPH-03</t>
        </is>
      </c>
      <c r="F43" s="6" t="n"/>
      <c r="G43" s="7" t="inlineStr">
        <is>
          <t>In-Outdoor Fabric Tan Tan 60482 Col. 13093</t>
        </is>
      </c>
      <c r="H43" s="7" t="inlineStr">
        <is>
          <t>Bedroom</t>
        </is>
      </c>
      <c r="I43" s="6" t="inlineStr">
        <is>
          <t>Maria Flora</t>
        </is>
      </c>
      <c r="J43" s="6" t="inlineStr">
        <is>
          <t>Tan Tan 60482 Col. 13093</t>
        </is>
      </c>
      <c r="K43" s="6" t="n"/>
      <c r="L43" s="6" t="n"/>
      <c r="M43" s="6" t="n"/>
      <c r="N43" s="6" t="n"/>
      <c r="O43" s="6" t="inlineStr">
        <is>
          <t>unknown</t>
        </is>
      </c>
      <c r="P43" s="6" t="inlineStr">
        <is>
          <t>not_started</t>
        </is>
      </c>
      <c r="Q43" s="6" t="inlineStr">
        <is>
          <t>not_started</t>
        </is>
      </c>
      <c r="R43" s="6" t="n"/>
      <c r="S43" s="6" t="n"/>
      <c r="T43" s="7" t="n"/>
      <c r="U43" s="6" t="inlineStr">
        <is>
          <t>05 FF&amp;E</t>
        </is>
      </c>
      <c r="V43" s="6" t="n">
        <v>10</v>
      </c>
      <c r="W43" s="9" t="n">
        <v>46272.71873991584</v>
      </c>
      <c r="X43" s="6" t="inlineStr">
        <is>
          <t>system</t>
        </is>
      </c>
      <c r="Y43" s="6" t="inlineStr">
        <is>
          <t>059385b5-a638-5cda-8cba-a02933d9aa3b</t>
        </is>
      </c>
    </row>
    <row r="44">
      <c r="A44" s="2" t="inlineStr">
        <is>
          <t>05</t>
        </is>
      </c>
      <c r="B44" s="2" t="inlineStr">
        <is>
          <t>FF&amp;E</t>
        </is>
      </c>
      <c r="C44" s="2" t="n">
        <v>43</v>
      </c>
      <c r="D44" s="3" t="inlineStr">
        <is>
          <t>Fabrics</t>
        </is>
      </c>
      <c r="E44" s="2" t="inlineStr">
        <is>
          <t>UPH-04</t>
        </is>
      </c>
      <c r="F44" s="2" t="n"/>
      <c r="G44" s="3" t="inlineStr">
        <is>
          <t>In-Outdoor Fabric Crisalide 60724 Col. 131</t>
        </is>
      </c>
      <c r="H44" s="3" t="inlineStr">
        <is>
          <t>Outdoor Living / Outdoor terrace (uncovered)</t>
        </is>
      </c>
      <c r="I44" s="2" t="inlineStr">
        <is>
          <t>Maria Flora</t>
        </is>
      </c>
      <c r="J44" s="2" t="inlineStr">
        <is>
          <t>Crisalide 60724 Col. 131</t>
        </is>
      </c>
      <c r="K44" s="2" t="n"/>
      <c r="L44" s="2" t="n"/>
      <c r="M44" s="2" t="n"/>
      <c r="N44" s="2" t="n"/>
      <c r="O44" s="2" t="inlineStr">
        <is>
          <t>unknown</t>
        </is>
      </c>
      <c r="P44" s="2" t="inlineStr">
        <is>
          <t>not_started</t>
        </is>
      </c>
      <c r="Q44" s="2" t="inlineStr">
        <is>
          <t>not_started</t>
        </is>
      </c>
      <c r="R44" s="2" t="n"/>
      <c r="S44" s="2" t="n"/>
      <c r="T44" s="3" t="n"/>
      <c r="U44" s="2" t="inlineStr">
        <is>
          <t>05 FF&amp;E</t>
        </is>
      </c>
      <c r="V44" s="2" t="n">
        <v>11</v>
      </c>
      <c r="W44" s="5" t="n">
        <v>46272.71873991584</v>
      </c>
      <c r="X44" s="2" t="inlineStr">
        <is>
          <t>system</t>
        </is>
      </c>
      <c r="Y44" s="2" t="inlineStr">
        <is>
          <t>2317ff6f-d52c-5cc9-a365-86a40360a6b1</t>
        </is>
      </c>
    </row>
    <row r="45">
      <c r="A45" s="6" t="inlineStr">
        <is>
          <t>05</t>
        </is>
      </c>
      <c r="B45" s="6" t="inlineStr">
        <is>
          <t>FF&amp;E</t>
        </is>
      </c>
      <c r="C45" s="6" t="n">
        <v>44</v>
      </c>
      <c r="D45" s="7" t="inlineStr">
        <is>
          <t>Fabrics</t>
        </is>
      </c>
      <c r="E45" s="6" t="inlineStr">
        <is>
          <t>UPH-05</t>
        </is>
      </c>
      <c r="F45" s="6" t="n"/>
      <c r="G45" s="7" t="inlineStr">
        <is>
          <t>In-Outdoor Fabric Zagora</t>
        </is>
      </c>
      <c r="H45" s="7" t="inlineStr">
        <is>
          <t>Exterior terrace</t>
        </is>
      </c>
      <c r="I45" s="6" t="inlineStr">
        <is>
          <t>Maria Flora</t>
        </is>
      </c>
      <c r="J45" s="6" t="inlineStr">
        <is>
          <t>Zagora 60749 Col. 13093</t>
        </is>
      </c>
      <c r="K45" s="6" t="n"/>
      <c r="L45" s="6" t="n"/>
      <c r="M45" s="6" t="n"/>
      <c r="N45" s="6" t="n"/>
      <c r="O45" s="6" t="inlineStr">
        <is>
          <t>unknown</t>
        </is>
      </c>
      <c r="P45" s="6" t="inlineStr">
        <is>
          <t>not_started</t>
        </is>
      </c>
      <c r="Q45" s="6" t="inlineStr">
        <is>
          <t>not_started</t>
        </is>
      </c>
      <c r="R45" s="6" t="n"/>
      <c r="S45" s="6" t="n"/>
      <c r="T45" s="7" t="n"/>
      <c r="U45" s="6" t="inlineStr">
        <is>
          <t>05 FF&amp;E</t>
        </is>
      </c>
      <c r="V45" s="6" t="n">
        <v>12</v>
      </c>
      <c r="W45" s="9" t="n">
        <v>46272.71873991584</v>
      </c>
      <c r="X45" s="6" t="inlineStr">
        <is>
          <t>system</t>
        </is>
      </c>
      <c r="Y45" s="6" t="inlineStr">
        <is>
          <t>369891bc-7b5b-53c0-859a-e6c9008a3a32</t>
        </is>
      </c>
    </row>
    <row r="46">
      <c r="A46" s="2" t="inlineStr">
        <is>
          <t>05</t>
        </is>
      </c>
      <c r="B46" s="2" t="inlineStr">
        <is>
          <t>FF&amp;E</t>
        </is>
      </c>
      <c r="C46" s="2" t="n">
        <v>45</v>
      </c>
      <c r="D46" s="3" t="inlineStr">
        <is>
          <t>Fabrics</t>
        </is>
      </c>
      <c r="E46" s="2" t="inlineStr">
        <is>
          <t>UPH-06</t>
        </is>
      </c>
      <c r="F46" s="2" t="n"/>
      <c r="G46" s="3" t="inlineStr">
        <is>
          <t>Outdoor Fabric ACERO 60002</t>
        </is>
      </c>
      <c r="H46" s="3" t="inlineStr">
        <is>
          <t>Outdoor / daybeds</t>
        </is>
      </c>
      <c r="I46" s="2" t="inlineStr">
        <is>
          <t>Maria Flora</t>
        </is>
      </c>
      <c r="J46" s="2" t="inlineStr">
        <is>
          <t>ACERO 60002 COL. 15102</t>
        </is>
      </c>
      <c r="K46" s="2" t="n"/>
      <c r="L46" s="2" t="n"/>
      <c r="M46" s="2" t="n"/>
      <c r="N46" s="2" t="n"/>
      <c r="O46" s="2" t="inlineStr">
        <is>
          <t>unknown</t>
        </is>
      </c>
      <c r="P46" s="2" t="inlineStr">
        <is>
          <t>not_started</t>
        </is>
      </c>
      <c r="Q46" s="2" t="inlineStr">
        <is>
          <t>not_started</t>
        </is>
      </c>
      <c r="R46" s="2" t="n"/>
      <c r="S46" s="2" t="n"/>
      <c r="T46" s="3" t="n"/>
      <c r="U46" s="2" t="inlineStr">
        <is>
          <t>05 FF&amp;E</t>
        </is>
      </c>
      <c r="V46" s="2" t="n">
        <v>13</v>
      </c>
      <c r="W46" s="5" t="n">
        <v>46272.71873991584</v>
      </c>
      <c r="X46" s="2" t="inlineStr">
        <is>
          <t>system</t>
        </is>
      </c>
      <c r="Y46" s="2" t="inlineStr">
        <is>
          <t>16636010-29c8-5c3b-b589-204808e9258a</t>
        </is>
      </c>
    </row>
    <row r="47">
      <c r="A47" s="6" t="inlineStr">
        <is>
          <t>05</t>
        </is>
      </c>
      <c r="B47" s="6" t="inlineStr">
        <is>
          <t>FF&amp;E</t>
        </is>
      </c>
      <c r="C47" s="6" t="n">
        <v>46</v>
      </c>
      <c r="D47" s="7" t="inlineStr">
        <is>
          <t>Fabrics</t>
        </is>
      </c>
      <c r="E47" s="6" t="inlineStr">
        <is>
          <t>UPH-07</t>
        </is>
      </c>
      <c r="F47" s="6" t="n"/>
      <c r="G47" s="7" t="inlineStr">
        <is>
          <t>In-Outdoor Fabric Camaleonte 60725 Col. 70</t>
        </is>
      </c>
      <c r="H47" s="7" t="inlineStr">
        <is>
          <t>Outdoor Living / Outdoor terrace (uncovered)</t>
        </is>
      </c>
      <c r="I47" s="6" t="inlineStr">
        <is>
          <t>Maria Flora</t>
        </is>
      </c>
      <c r="J47" s="6" t="inlineStr">
        <is>
          <t>Camaleonte 60725 Col. 70</t>
        </is>
      </c>
      <c r="K47" s="6" t="n"/>
      <c r="L47" s="6" t="n"/>
      <c r="M47" s="6" t="n"/>
      <c r="N47" s="6" t="n"/>
      <c r="O47" s="6" t="inlineStr">
        <is>
          <t>unknown</t>
        </is>
      </c>
      <c r="P47" s="6" t="inlineStr">
        <is>
          <t>not_started</t>
        </is>
      </c>
      <c r="Q47" s="6" t="inlineStr">
        <is>
          <t>not_started</t>
        </is>
      </c>
      <c r="R47" s="6" t="n"/>
      <c r="S47" s="6" t="n"/>
      <c r="T47" s="7" t="n"/>
      <c r="U47" s="6" t="inlineStr">
        <is>
          <t>05 FF&amp;E</t>
        </is>
      </c>
      <c r="V47" s="6" t="n">
        <v>14</v>
      </c>
      <c r="W47" s="9" t="n">
        <v>46272.71873991584</v>
      </c>
      <c r="X47" s="6" t="inlineStr">
        <is>
          <t>system</t>
        </is>
      </c>
      <c r="Y47" s="6" t="inlineStr">
        <is>
          <t>11c627b0-3f6a-5b6b-bf84-d9daa0df6c97</t>
        </is>
      </c>
    </row>
    <row r="48">
      <c r="A48" s="2" t="inlineStr">
        <is>
          <t>05</t>
        </is>
      </c>
      <c r="B48" s="2" t="inlineStr">
        <is>
          <t>FF&amp;E</t>
        </is>
      </c>
      <c r="C48" s="2" t="n">
        <v>47</v>
      </c>
      <c r="D48" s="3" t="inlineStr">
        <is>
          <t>Fabrics</t>
        </is>
      </c>
      <c r="E48" s="2" t="inlineStr">
        <is>
          <t>UPH-08</t>
        </is>
      </c>
      <c r="F48" s="2" t="n"/>
      <c r="G48" s="3" t="inlineStr">
        <is>
          <t>In-Outdoor Fabric Rugged Stripe Driftwood</t>
        </is>
      </c>
      <c r="H48" s="3" t="inlineStr">
        <is>
          <t>Outdoor terrace / Daybeds</t>
        </is>
      </c>
      <c r="I48" s="2" t="inlineStr">
        <is>
          <t>Perennials</t>
        </is>
      </c>
      <c r="J48" s="2" t="inlineStr">
        <is>
          <t>Rugged Stripe 895-101 Color:Driftwood</t>
        </is>
      </c>
      <c r="K48" s="2" t="n"/>
      <c r="L48" s="2" t="n"/>
      <c r="M48" s="2" t="n"/>
      <c r="N48" s="2" t="n"/>
      <c r="O48" s="2" t="inlineStr">
        <is>
          <t>unknown</t>
        </is>
      </c>
      <c r="P48" s="2" t="inlineStr">
        <is>
          <t>not_started</t>
        </is>
      </c>
      <c r="Q48" s="2" t="inlineStr">
        <is>
          <t>not_started</t>
        </is>
      </c>
      <c r="R48" s="2" t="n"/>
      <c r="S48" s="2" t="n"/>
      <c r="T48" s="3" t="n"/>
      <c r="U48" s="2" t="inlineStr">
        <is>
          <t>05 FF&amp;E</t>
        </is>
      </c>
      <c r="V48" s="2" t="n">
        <v>15</v>
      </c>
      <c r="W48" s="5" t="n">
        <v>46272.71873991584</v>
      </c>
      <c r="X48" s="2" t="inlineStr">
        <is>
          <t>system</t>
        </is>
      </c>
      <c r="Y48" s="2" t="inlineStr">
        <is>
          <t>7084c207-ed7a-5ede-b9a9-d4f11406be06</t>
        </is>
      </c>
    </row>
    <row r="49">
      <c r="A49" s="6" t="inlineStr">
        <is>
          <t>05</t>
        </is>
      </c>
      <c r="B49" s="6" t="inlineStr">
        <is>
          <t>FF&amp;E</t>
        </is>
      </c>
      <c r="C49" s="6" t="n">
        <v>48</v>
      </c>
      <c r="D49" s="7" t="inlineStr">
        <is>
          <t>Fabrics</t>
        </is>
      </c>
      <c r="E49" s="6" t="inlineStr">
        <is>
          <t>UPH-09</t>
        </is>
      </c>
      <c r="F49" s="6" t="n"/>
      <c r="G49" s="7" t="inlineStr">
        <is>
          <t>In-Outdoor Fabric Flanders Dirty Martini</t>
        </is>
      </c>
      <c r="H49" s="7" t="inlineStr">
        <is>
          <t>Outdoor terrace / Daybeds</t>
        </is>
      </c>
      <c r="I49" s="6" t="inlineStr">
        <is>
          <t>Perennials</t>
        </is>
      </c>
      <c r="J49" s="6" t="inlineStr">
        <is>
          <t>Flanders 941-364 Color:Dirty Martini</t>
        </is>
      </c>
      <c r="K49" s="6" t="n"/>
      <c r="L49" s="6" t="n"/>
      <c r="M49" s="6" t="n"/>
      <c r="N49" s="6" t="n"/>
      <c r="O49" s="6" t="inlineStr">
        <is>
          <t>unknown</t>
        </is>
      </c>
      <c r="P49" s="6" t="inlineStr">
        <is>
          <t>not_started</t>
        </is>
      </c>
      <c r="Q49" s="6" t="inlineStr">
        <is>
          <t>not_started</t>
        </is>
      </c>
      <c r="R49" s="6" t="n"/>
      <c r="S49" s="6" t="n"/>
      <c r="T49" s="7" t="n"/>
      <c r="U49" s="6" t="inlineStr">
        <is>
          <t>05 FF&amp;E</t>
        </is>
      </c>
      <c r="V49" s="6" t="n">
        <v>16</v>
      </c>
      <c r="W49" s="9" t="n">
        <v>46272.71873991584</v>
      </c>
      <c r="X49" s="6" t="inlineStr">
        <is>
          <t>system</t>
        </is>
      </c>
      <c r="Y49" s="6" t="inlineStr">
        <is>
          <t>1a9695f0-7cea-5186-acab-018defb40120</t>
        </is>
      </c>
    </row>
    <row r="50">
      <c r="A50" s="2" t="inlineStr">
        <is>
          <t>05</t>
        </is>
      </c>
      <c r="B50" s="2" t="inlineStr">
        <is>
          <t>FF&amp;E</t>
        </is>
      </c>
      <c r="C50" s="2" t="n">
        <v>49</v>
      </c>
      <c r="D50" s="3" t="inlineStr">
        <is>
          <t>Fabrics</t>
        </is>
      </c>
      <c r="E50" s="2" t="inlineStr">
        <is>
          <t>UPH-10</t>
        </is>
      </c>
      <c r="F50" s="2" t="n"/>
      <c r="G50" s="3" t="inlineStr">
        <is>
          <t>Marine contract fabric Blend Linen 16001-0014 Sunbrella Upholdstery Collection</t>
        </is>
      </c>
      <c r="H50" s="3" t="inlineStr">
        <is>
          <t>Daybeds Interior</t>
        </is>
      </c>
      <c r="I50" s="2" t="inlineStr">
        <is>
          <t>Sunbrella</t>
        </is>
      </c>
      <c r="J50" s="2" t="inlineStr">
        <is>
          <t>Blend Linen 16001-0014</t>
        </is>
      </c>
      <c r="K50" s="2" t="n"/>
      <c r="L50" s="2" t="n"/>
      <c r="M50" s="2" t="n"/>
      <c r="N50" s="2" t="n"/>
      <c r="O50" s="2" t="inlineStr">
        <is>
          <t>unknown</t>
        </is>
      </c>
      <c r="P50" s="2" t="inlineStr">
        <is>
          <t>not_started</t>
        </is>
      </c>
      <c r="Q50" s="2" t="inlineStr">
        <is>
          <t>not_started</t>
        </is>
      </c>
      <c r="R50" s="10" t="inlineStr">
        <is>
          <t>https://www.sunbrella.com/sunbrella-upholstery-blend-linen-16001-0014</t>
        </is>
      </c>
      <c r="S50" s="2" t="n"/>
      <c r="T50" s="3" t="n"/>
      <c r="U50" s="2" t="inlineStr">
        <is>
          <t>05 FF&amp;E</t>
        </is>
      </c>
      <c r="V50" s="2" t="n">
        <v>17</v>
      </c>
      <c r="W50" s="5" t="n">
        <v>46272.71873991584</v>
      </c>
      <c r="X50" s="2" t="inlineStr">
        <is>
          <t>system</t>
        </is>
      </c>
      <c r="Y50" s="2" t="inlineStr">
        <is>
          <t>1b6707ce-cabc-55b5-b8ab-e507578cbb5f</t>
        </is>
      </c>
    </row>
    <row r="51">
      <c r="A51" s="6" t="inlineStr">
        <is>
          <t>05</t>
        </is>
      </c>
      <c r="B51" s="6" t="inlineStr">
        <is>
          <t>FF&amp;E</t>
        </is>
      </c>
      <c r="C51" s="6" t="n">
        <v>50</v>
      </c>
      <c r="D51" s="7" t="inlineStr">
        <is>
          <t>Fabrics</t>
        </is>
      </c>
      <c r="E51" s="6" t="inlineStr">
        <is>
          <t>UPH-11</t>
        </is>
      </c>
      <c r="F51" s="6" t="n"/>
      <c r="G51" s="7" t="inlineStr">
        <is>
          <t>Outdoor fabric</t>
        </is>
      </c>
      <c r="H51" s="7" t="inlineStr">
        <is>
          <t>Cushions Tribu KOS chair</t>
        </is>
      </c>
      <c r="I51" s="6" t="inlineStr">
        <is>
          <t>TRIBU</t>
        </is>
      </c>
      <c r="J51" s="6" t="inlineStr">
        <is>
          <t>E-81</t>
        </is>
      </c>
      <c r="K51" s="6" t="n"/>
      <c r="L51" s="6" t="n"/>
      <c r="M51" s="6" t="n"/>
      <c r="N51" s="6" t="n"/>
      <c r="O51" s="6" t="inlineStr">
        <is>
          <t>unknown</t>
        </is>
      </c>
      <c r="P51" s="6" t="inlineStr">
        <is>
          <t>not_started</t>
        </is>
      </c>
      <c r="Q51" s="6" t="inlineStr">
        <is>
          <t>not_started</t>
        </is>
      </c>
      <c r="R51" s="6" t="n"/>
      <c r="S51" s="6" t="n"/>
      <c r="T51" s="7" t="n"/>
      <c r="U51" s="6" t="inlineStr">
        <is>
          <t>05 FF&amp;E</t>
        </is>
      </c>
      <c r="V51" s="6" t="n">
        <v>18</v>
      </c>
      <c r="W51" s="9" t="n">
        <v>46272.71873991584</v>
      </c>
      <c r="X51" s="6" t="inlineStr">
        <is>
          <t>system</t>
        </is>
      </c>
      <c r="Y51" s="6" t="inlineStr">
        <is>
          <t>ca7d2c0a-0d42-5e00-9eac-2761c17e0f27</t>
        </is>
      </c>
    </row>
    <row r="52">
      <c r="A52" s="2" t="inlineStr">
        <is>
          <t>05</t>
        </is>
      </c>
      <c r="B52" s="2" t="inlineStr">
        <is>
          <t>FF&amp;E</t>
        </is>
      </c>
      <c r="C52" s="2" t="n">
        <v>51</v>
      </c>
      <c r="D52" s="3" t="inlineStr">
        <is>
          <t>Fixtures</t>
        </is>
      </c>
      <c r="E52" s="2" t="inlineStr">
        <is>
          <t>FIX-01</t>
        </is>
      </c>
      <c r="F52" s="2" t="n"/>
      <c r="G52" s="3" t="inlineStr">
        <is>
          <t>Deck-mounted basin spout without pop-up waste</t>
        </is>
      </c>
      <c r="H52" s="3" t="inlineStr">
        <is>
          <t>Bathroom (Vanity)</t>
        </is>
      </c>
      <c r="I52" s="2" t="inlineStr">
        <is>
          <t>Dorn Bracht</t>
        </is>
      </c>
      <c r="J52" s="2" t="inlineStr">
        <is>
          <t>Deck mounted 13 716 882-42</t>
        </is>
      </c>
      <c r="K52" s="4" t="n">
        <v>2</v>
      </c>
      <c r="L52" s="2" t="n"/>
      <c r="M52" s="2" t="n"/>
      <c r="N52" s="2" t="n"/>
      <c r="O52" s="2" t="inlineStr">
        <is>
          <t>unknown</t>
        </is>
      </c>
      <c r="P52" s="2" t="inlineStr">
        <is>
          <t>not_started</t>
        </is>
      </c>
      <c r="Q52" s="2" t="inlineStr">
        <is>
          <t>not_started</t>
        </is>
      </c>
      <c r="R52" s="10" t="inlineStr">
        <is>
          <t>https://www.dornbracht.com/en/products/13716882-00/deck-mounted-basin-spout-without-pop-up-waste</t>
        </is>
      </c>
      <c r="S52" s="2" t="n"/>
      <c r="T52" s="3" t="n"/>
      <c r="U52" s="2" t="inlineStr">
        <is>
          <t>05 FF&amp;E</t>
        </is>
      </c>
      <c r="V52" s="2" t="n">
        <v>19</v>
      </c>
      <c r="W52" s="5" t="n">
        <v>46272.71873991584</v>
      </c>
      <c r="X52" s="2" t="inlineStr">
        <is>
          <t>system</t>
        </is>
      </c>
      <c r="Y52" s="2" t="inlineStr">
        <is>
          <t>acb574b3-5484-5aa7-8810-5c8d34af0513</t>
        </is>
      </c>
    </row>
    <row r="53">
      <c r="A53" s="6" t="inlineStr">
        <is>
          <t>05</t>
        </is>
      </c>
      <c r="B53" s="6" t="inlineStr">
        <is>
          <t>FF&amp;E</t>
        </is>
      </c>
      <c r="C53" s="6" t="n">
        <v>52</v>
      </c>
      <c r="D53" s="7" t="inlineStr">
        <is>
          <t>Fixtures</t>
        </is>
      </c>
      <c r="E53" s="6" t="inlineStr">
        <is>
          <t>FIX-02</t>
        </is>
      </c>
      <c r="F53" s="6" t="n"/>
      <c r="G53" s="7" t="inlineStr">
        <is>
          <t>Deck valve clockwise closing cold</t>
        </is>
      </c>
      <c r="H53" s="7" t="inlineStr">
        <is>
          <t>Indoor Shower</t>
        </is>
      </c>
      <c r="I53" s="6" t="inlineStr">
        <is>
          <t>Dorn Bracht</t>
        </is>
      </c>
      <c r="J53" s="6" t="inlineStr">
        <is>
          <t>Deck Valve 20 000 740-46</t>
        </is>
      </c>
      <c r="K53" s="8" t="n">
        <v>1</v>
      </c>
      <c r="L53" s="6" t="n"/>
      <c r="M53" s="6" t="n"/>
      <c r="N53" s="6" t="n"/>
      <c r="O53" s="6" t="inlineStr">
        <is>
          <t>unknown</t>
        </is>
      </c>
      <c r="P53" s="6" t="inlineStr">
        <is>
          <t>not_started</t>
        </is>
      </c>
      <c r="Q53" s="6" t="inlineStr">
        <is>
          <t>not_started</t>
        </is>
      </c>
      <c r="R53" s="6" t="n"/>
      <c r="S53" s="6" t="n"/>
      <c r="T53" s="7" t="n"/>
      <c r="U53" s="6" t="inlineStr">
        <is>
          <t>05 FF&amp;E</t>
        </is>
      </c>
      <c r="V53" s="6" t="n">
        <v>20</v>
      </c>
      <c r="W53" s="9" t="n">
        <v>46272.71873991584</v>
      </c>
      <c r="X53" s="6" t="inlineStr">
        <is>
          <t>system</t>
        </is>
      </c>
      <c r="Y53" s="6" t="inlineStr">
        <is>
          <t>e9dc5839-531b-5637-9bac-d9d0825e4440</t>
        </is>
      </c>
    </row>
    <row r="54">
      <c r="A54" s="2" t="inlineStr">
        <is>
          <t>05</t>
        </is>
      </c>
      <c r="B54" s="2" t="inlineStr">
        <is>
          <t>FF&amp;E</t>
        </is>
      </c>
      <c r="C54" s="2" t="n">
        <v>53</v>
      </c>
      <c r="D54" s="3" t="inlineStr">
        <is>
          <t>Fixtures</t>
        </is>
      </c>
      <c r="E54" s="2" t="inlineStr">
        <is>
          <t>FIX-03</t>
        </is>
      </c>
      <c r="F54" s="2" t="n"/>
      <c r="G54" s="3" t="inlineStr">
        <is>
          <t>Hand shower set with integrated shower holder FlowReduce</t>
        </is>
      </c>
      <c r="H54" s="3" t="inlineStr">
        <is>
          <t>Rinse Shower &amp; Indoor Shower</t>
        </is>
      </c>
      <c r="I54" s="2" t="inlineStr">
        <is>
          <t>Dorn Bracht</t>
        </is>
      </c>
      <c r="J54" s="2" t="inlineStr">
        <is>
          <t>Hand shower 27 812 660-42 0010</t>
        </is>
      </c>
      <c r="K54" s="4" t="n">
        <v>2</v>
      </c>
      <c r="L54" s="2" t="n"/>
      <c r="M54" s="2" t="n"/>
      <c r="N54" s="2" t="n"/>
      <c r="O54" s="2" t="inlineStr">
        <is>
          <t>unknown</t>
        </is>
      </c>
      <c r="P54" s="2" t="inlineStr">
        <is>
          <t>not_started</t>
        </is>
      </c>
      <c r="Q54" s="2" t="inlineStr">
        <is>
          <t>not_started</t>
        </is>
      </c>
      <c r="R54" s="2" t="n"/>
      <c r="S54" s="2" t="n"/>
      <c r="T54" s="3" t="n"/>
      <c r="U54" s="2" t="inlineStr">
        <is>
          <t>05 FF&amp;E</t>
        </is>
      </c>
      <c r="V54" s="2" t="n">
        <v>21</v>
      </c>
      <c r="W54" s="5" t="n">
        <v>46272.71873991584</v>
      </c>
      <c r="X54" s="2" t="inlineStr">
        <is>
          <t>system</t>
        </is>
      </c>
      <c r="Y54" s="2" t="inlineStr">
        <is>
          <t>e14ae712-993c-5ab4-ba27-687a99a95095</t>
        </is>
      </c>
    </row>
    <row r="55">
      <c r="A55" s="6" t="inlineStr">
        <is>
          <t>05</t>
        </is>
      </c>
      <c r="B55" s="6" t="inlineStr">
        <is>
          <t>FF&amp;E</t>
        </is>
      </c>
      <c r="C55" s="6" t="n">
        <v>54</v>
      </c>
      <c r="D55" s="7" t="inlineStr">
        <is>
          <t>Fixtures</t>
        </is>
      </c>
      <c r="E55" s="6" t="inlineStr">
        <is>
          <t>FIX-04</t>
        </is>
      </c>
      <c r="F55" s="6" t="n"/>
      <c r="G55" s="7" t="inlineStr">
        <is>
          <t>Rain shower with ceiling fixing FlowReduce 400 mm - Brushed Bronze</t>
        </is>
      </c>
      <c r="H55" s="7" t="inlineStr">
        <is>
          <t>Rinse Shower &amp; Indoor Shower</t>
        </is>
      </c>
      <c r="I55" s="6" t="inlineStr">
        <is>
          <t>Dorn Bracht</t>
        </is>
      </c>
      <c r="J55" s="6" t="inlineStr">
        <is>
          <t>Rain shower 28 698 970-42</t>
        </is>
      </c>
      <c r="K55" s="8" t="n">
        <v>2</v>
      </c>
      <c r="L55" s="6" t="n"/>
      <c r="M55" s="6" t="n"/>
      <c r="N55" s="6" t="n"/>
      <c r="O55" s="6" t="inlineStr">
        <is>
          <t>unknown</t>
        </is>
      </c>
      <c r="P55" s="6" t="inlineStr">
        <is>
          <t>not_started</t>
        </is>
      </c>
      <c r="Q55" s="6" t="inlineStr">
        <is>
          <t>not_started</t>
        </is>
      </c>
      <c r="R55" s="6" t="n"/>
      <c r="S55" s="6" t="n"/>
      <c r="T55" s="7" t="n"/>
      <c r="U55" s="6" t="inlineStr">
        <is>
          <t>05 FF&amp;E</t>
        </is>
      </c>
      <c r="V55" s="6" t="n">
        <v>22</v>
      </c>
      <c r="W55" s="9" t="n">
        <v>46272.71873991584</v>
      </c>
      <c r="X55" s="6" t="inlineStr">
        <is>
          <t>system</t>
        </is>
      </c>
      <c r="Y55" s="6" t="inlineStr">
        <is>
          <t>23bb0dce-50fb-5741-88f9-fc336be2b9d8</t>
        </is>
      </c>
    </row>
    <row r="56">
      <c r="A56" s="2" t="inlineStr">
        <is>
          <t>05</t>
        </is>
      </c>
      <c r="B56" s="2" t="inlineStr">
        <is>
          <t>FF&amp;E</t>
        </is>
      </c>
      <c r="C56" s="2" t="n">
        <v>55</v>
      </c>
      <c r="D56" s="3" t="inlineStr">
        <is>
          <t>Fixtures</t>
        </is>
      </c>
      <c r="E56" s="2" t="inlineStr">
        <is>
          <t>FIX-05</t>
        </is>
      </c>
      <c r="F56" s="2" t="n"/>
      <c r="G56" s="3" t="inlineStr">
        <is>
          <t>META xTOOL Thermostat module with 1 valve</t>
        </is>
      </c>
      <c r="H56" s="3" t="inlineStr">
        <is>
          <t>Rinse Shower &amp; Indoor Shower</t>
        </is>
      </c>
      <c r="I56" s="2" t="inlineStr">
        <is>
          <t>Dorn Bracht</t>
        </is>
      </c>
      <c r="J56" s="2" t="inlineStr">
        <is>
          <t>Thermostat module 36 503 979-42 + 36 607 740-42</t>
        </is>
      </c>
      <c r="K56" s="4" t="n">
        <v>3</v>
      </c>
      <c r="L56" s="2" t="n"/>
      <c r="M56" s="2" t="n"/>
      <c r="N56" s="2" t="n"/>
      <c r="O56" s="2" t="inlineStr">
        <is>
          <t>unknown</t>
        </is>
      </c>
      <c r="P56" s="2" t="inlineStr">
        <is>
          <t>not_started</t>
        </is>
      </c>
      <c r="Q56" s="2" t="inlineStr">
        <is>
          <t>not_started</t>
        </is>
      </c>
      <c r="R56" s="2" t="n"/>
      <c r="S56" s="2" t="n"/>
      <c r="T56" s="3" t="n"/>
      <c r="U56" s="2" t="inlineStr">
        <is>
          <t>05 FF&amp;E</t>
        </is>
      </c>
      <c r="V56" s="2" t="n">
        <v>23</v>
      </c>
      <c r="W56" s="5" t="n">
        <v>46272.71873991584</v>
      </c>
      <c r="X56" s="2" t="inlineStr">
        <is>
          <t>system</t>
        </is>
      </c>
      <c r="Y56" s="2" t="inlineStr">
        <is>
          <t>ab517d95-a263-5ec8-97cf-f7e5b100de56</t>
        </is>
      </c>
    </row>
    <row r="57">
      <c r="A57" s="6" t="inlineStr">
        <is>
          <t>05</t>
        </is>
      </c>
      <c r="B57" s="6" t="inlineStr">
        <is>
          <t>FF&amp;E</t>
        </is>
      </c>
      <c r="C57" s="6" t="n">
        <v>56</v>
      </c>
      <c r="D57" s="7" t="inlineStr">
        <is>
          <t>Fixtures</t>
        </is>
      </c>
      <c r="E57" s="6" t="inlineStr">
        <is>
          <t>FIX-06</t>
        </is>
      </c>
      <c r="F57" s="6" t="n"/>
      <c r="G57" s="7" t="inlineStr">
        <is>
          <t>Wall mounted clothing hook</t>
        </is>
      </c>
      <c r="H57" s="7" t="inlineStr">
        <is>
          <t>Bathroom, Walk-in Closet &amp; Rinse Shower</t>
        </is>
      </c>
      <c r="I57" s="6" t="inlineStr">
        <is>
          <t>Dorn Bracht</t>
        </is>
      </c>
      <c r="J57" s="6" t="inlineStr">
        <is>
          <t>Hooks 83 251 220-42</t>
        </is>
      </c>
      <c r="K57" s="8" t="n">
        <v>8</v>
      </c>
      <c r="L57" s="6" t="n"/>
      <c r="M57" s="6" t="n"/>
      <c r="N57" s="6" t="n"/>
      <c r="O57" s="6" t="inlineStr">
        <is>
          <t>unknown</t>
        </is>
      </c>
      <c r="P57" s="6" t="inlineStr">
        <is>
          <t>not_started</t>
        </is>
      </c>
      <c r="Q57" s="6" t="inlineStr">
        <is>
          <t>not_started</t>
        </is>
      </c>
      <c r="R57" s="6" t="n"/>
      <c r="S57" s="6" t="n"/>
      <c r="T57" s="7" t="n"/>
      <c r="U57" s="6" t="inlineStr">
        <is>
          <t>05 FF&amp;E</t>
        </is>
      </c>
      <c r="V57" s="6" t="n">
        <v>24</v>
      </c>
      <c r="W57" s="9" t="n">
        <v>46272.71873991584</v>
      </c>
      <c r="X57" s="6" t="inlineStr">
        <is>
          <t>system</t>
        </is>
      </c>
      <c r="Y57" s="6" t="inlineStr">
        <is>
          <t>16a7541a-bd63-58c0-b7d2-035453666499</t>
        </is>
      </c>
    </row>
    <row r="58">
      <c r="A58" s="2" t="inlineStr">
        <is>
          <t>05</t>
        </is>
      </c>
      <c r="B58" s="2" t="inlineStr">
        <is>
          <t>FF&amp;E</t>
        </is>
      </c>
      <c r="C58" s="2" t="n">
        <v>57</v>
      </c>
      <c r="D58" s="3" t="inlineStr">
        <is>
          <t>Fixtures</t>
        </is>
      </c>
      <c r="E58" s="2" t="inlineStr">
        <is>
          <t>FIX-07</t>
        </is>
      </c>
      <c r="F58" s="2" t="n"/>
      <c r="G58" s="3" t="inlineStr">
        <is>
          <t>Tissue holder without cover</t>
        </is>
      </c>
      <c r="H58" s="3" t="inlineStr">
        <is>
          <t>Guests &amp; ADA Restroom</t>
        </is>
      </c>
      <c r="I58" s="2" t="inlineStr">
        <is>
          <t>Dorn Bracht</t>
        </is>
      </c>
      <c r="J58" s="2" t="inlineStr">
        <is>
          <t>Tissue holder 83 500 979-42</t>
        </is>
      </c>
      <c r="K58" s="4" t="n">
        <v>1</v>
      </c>
      <c r="L58" s="2" t="n"/>
      <c r="M58" s="2" t="n"/>
      <c r="N58" s="2" t="n"/>
      <c r="O58" s="2" t="inlineStr">
        <is>
          <t>unknown</t>
        </is>
      </c>
      <c r="P58" s="2" t="inlineStr">
        <is>
          <t>not_started</t>
        </is>
      </c>
      <c r="Q58" s="2" t="inlineStr">
        <is>
          <t>not_started</t>
        </is>
      </c>
      <c r="R58" s="2" t="n"/>
      <c r="S58" s="2" t="n"/>
      <c r="T58" s="3" t="n"/>
      <c r="U58" s="2" t="inlineStr">
        <is>
          <t>05 FF&amp;E</t>
        </is>
      </c>
      <c r="V58" s="2" t="n">
        <v>25</v>
      </c>
      <c r="W58" s="5" t="n">
        <v>46272.71873991584</v>
      </c>
      <c r="X58" s="2" t="inlineStr">
        <is>
          <t>system</t>
        </is>
      </c>
      <c r="Y58" s="2" t="inlineStr">
        <is>
          <t>6fd04a48-9d59-5b46-97ae-e789d1b316d3</t>
        </is>
      </c>
    </row>
    <row r="59">
      <c r="A59" s="6" t="inlineStr">
        <is>
          <t>05</t>
        </is>
      </c>
      <c r="B59" s="6" t="inlineStr">
        <is>
          <t>FF&amp;E</t>
        </is>
      </c>
      <c r="C59" s="6" t="n">
        <v>58</v>
      </c>
      <c r="D59" s="7" t="inlineStr">
        <is>
          <t>Fixtures</t>
        </is>
      </c>
      <c r="E59" s="6" t="inlineStr">
        <is>
          <t>FIX-08</t>
        </is>
      </c>
      <c r="F59" s="6" t="n"/>
      <c r="G59" s="7" t="inlineStr">
        <is>
          <t>TOTO Neorest WX1 Wall Hung Toilet</t>
        </is>
      </c>
      <c r="H59" s="7" t="inlineStr">
        <is>
          <t>WC</t>
        </is>
      </c>
      <c r="I59" s="6" t="inlineStr">
        <is>
          <t>TOTO</t>
        </is>
      </c>
      <c r="J59" s="6" t="inlineStr">
        <is>
          <t>Neorest wx1 CWT9538CEMFG#01</t>
        </is>
      </c>
      <c r="K59" s="8" t="n">
        <v>1</v>
      </c>
      <c r="L59" s="6" t="n"/>
      <c r="M59" s="6" t="n"/>
      <c r="N59" s="6" t="n"/>
      <c r="O59" s="6" t="inlineStr">
        <is>
          <t>unknown</t>
        </is>
      </c>
      <c r="P59" s="6" t="inlineStr">
        <is>
          <t>not_started</t>
        </is>
      </c>
      <c r="Q59" s="6" t="inlineStr">
        <is>
          <t>not_started</t>
        </is>
      </c>
      <c r="R59" s="10" t="inlineStr">
        <is>
          <t>https://www.totousa.com/filemanager_uploads/product_assets/SpecSheet/SS-02254_CWT9538CEMFG.pdf</t>
        </is>
      </c>
      <c r="S59" s="6" t="n"/>
      <c r="T59" s="7" t="n"/>
      <c r="U59" s="6" t="inlineStr">
        <is>
          <t>05 FF&amp;E</t>
        </is>
      </c>
      <c r="V59" s="6" t="n">
        <v>26</v>
      </c>
      <c r="W59" s="9" t="n">
        <v>46272.71873991584</v>
      </c>
      <c r="X59" s="6" t="inlineStr">
        <is>
          <t>system</t>
        </is>
      </c>
      <c r="Y59" s="6" t="inlineStr">
        <is>
          <t>278675eb-2e99-5fde-a22c-eec99a1b9318</t>
        </is>
      </c>
    </row>
    <row r="60">
      <c r="A60" s="2" t="inlineStr">
        <is>
          <t>05</t>
        </is>
      </c>
      <c r="B60" s="2" t="inlineStr">
        <is>
          <t>FF&amp;E</t>
        </is>
      </c>
      <c r="C60" s="2" t="n">
        <v>59</v>
      </c>
      <c r="D60" s="3" t="inlineStr">
        <is>
          <t>Furniture</t>
        </is>
      </c>
      <c r="E60" s="2" t="inlineStr">
        <is>
          <t>CUSH-01</t>
        </is>
      </c>
      <c r="F60" s="2" t="n"/>
      <c r="G60" s="3" t="inlineStr">
        <is>
          <t>Decorative cushion</t>
        </is>
      </c>
      <c r="H60" s="3" t="n"/>
      <c r="I60" s="2" t="inlineStr">
        <is>
          <t>CUSTOM</t>
        </is>
      </c>
      <c r="J60" s="2" t="inlineStr">
        <is>
          <t>CUSTOM MADE</t>
        </is>
      </c>
      <c r="K60" s="4" t="n">
        <v>2</v>
      </c>
      <c r="L60" s="2" t="n"/>
      <c r="M60" s="2" t="n"/>
      <c r="N60" s="2" t="n"/>
      <c r="O60" s="2" t="inlineStr">
        <is>
          <t>unknown</t>
        </is>
      </c>
      <c r="P60" s="2" t="inlineStr">
        <is>
          <t>not_started</t>
        </is>
      </c>
      <c r="Q60" s="2" t="inlineStr">
        <is>
          <t>not_started</t>
        </is>
      </c>
      <c r="R60" s="2" t="n"/>
      <c r="S60" s="2" t="n"/>
      <c r="T60" s="3" t="n"/>
      <c r="U60" s="2" t="inlineStr">
        <is>
          <t>05 FF&amp;E</t>
        </is>
      </c>
      <c r="V60" s="2" t="n">
        <v>27</v>
      </c>
      <c r="W60" s="5" t="n">
        <v>46272.71873991584</v>
      </c>
      <c r="X60" s="2" t="inlineStr">
        <is>
          <t>system</t>
        </is>
      </c>
      <c r="Y60" s="2" t="inlineStr">
        <is>
          <t>16c29d4c-486d-5729-9a5e-5ab3837c5720</t>
        </is>
      </c>
    </row>
    <row r="61">
      <c r="A61" s="6" t="inlineStr">
        <is>
          <t>05</t>
        </is>
      </c>
      <c r="B61" s="6" t="inlineStr">
        <is>
          <t>FF&amp;E</t>
        </is>
      </c>
      <c r="C61" s="6" t="n">
        <v>60</v>
      </c>
      <c r="D61" s="7" t="inlineStr">
        <is>
          <t>Furniture</t>
        </is>
      </c>
      <c r="E61" s="6" t="inlineStr">
        <is>
          <t>CUSH-02</t>
        </is>
      </c>
      <c r="F61" s="6" t="n"/>
      <c r="G61" s="7" t="inlineStr">
        <is>
          <t>Decorative cushion</t>
        </is>
      </c>
      <c r="H61" s="7" t="n"/>
      <c r="I61" s="6" t="inlineStr">
        <is>
          <t>CUSTOM</t>
        </is>
      </c>
      <c r="J61" s="6" t="inlineStr">
        <is>
          <t>SQUARE</t>
        </is>
      </c>
      <c r="K61" s="8" t="n">
        <v>6</v>
      </c>
      <c r="L61" s="6" t="n"/>
      <c r="M61" s="6" t="n"/>
      <c r="N61" s="6" t="n"/>
      <c r="O61" s="6" t="inlineStr">
        <is>
          <t>unknown</t>
        </is>
      </c>
      <c r="P61" s="6" t="inlineStr">
        <is>
          <t>not_started</t>
        </is>
      </c>
      <c r="Q61" s="6" t="inlineStr">
        <is>
          <t>not_started</t>
        </is>
      </c>
      <c r="R61" s="6" t="n"/>
      <c r="S61" s="6" t="n"/>
      <c r="T61" s="7" t="n"/>
      <c r="U61" s="6" t="inlineStr">
        <is>
          <t>05 FF&amp;E</t>
        </is>
      </c>
      <c r="V61" s="6" t="n">
        <v>28</v>
      </c>
      <c r="W61" s="9" t="n">
        <v>46272.71873991584</v>
      </c>
      <c r="X61" s="6" t="inlineStr">
        <is>
          <t>system</t>
        </is>
      </c>
      <c r="Y61" s="6" t="inlineStr">
        <is>
          <t>02e8523e-467e-5820-8551-64ff68736107</t>
        </is>
      </c>
    </row>
    <row r="62">
      <c r="A62" s="2" t="inlineStr">
        <is>
          <t>05</t>
        </is>
      </c>
      <c r="B62" s="2" t="inlineStr">
        <is>
          <t>FF&amp;E</t>
        </is>
      </c>
      <c r="C62" s="2" t="n">
        <v>61</v>
      </c>
      <c r="D62" s="3" t="inlineStr">
        <is>
          <t>Furniture</t>
        </is>
      </c>
      <c r="E62" s="2" t="inlineStr">
        <is>
          <t>CUSH-03</t>
        </is>
      </c>
      <c r="F62" s="2" t="n"/>
      <c r="G62" s="3" t="inlineStr">
        <is>
          <t>Decorative cushion</t>
        </is>
      </c>
      <c r="H62" s="3" t="n"/>
      <c r="I62" s="2" t="inlineStr">
        <is>
          <t>CUSTOM</t>
        </is>
      </c>
      <c r="J62" s="2" t="inlineStr">
        <is>
          <t>RECTANGULAR</t>
        </is>
      </c>
      <c r="K62" s="4" t="n">
        <v>2</v>
      </c>
      <c r="L62" s="2" t="n"/>
      <c r="M62" s="2" t="n"/>
      <c r="N62" s="2" t="n"/>
      <c r="O62" s="2" t="inlineStr">
        <is>
          <t>unknown</t>
        </is>
      </c>
      <c r="P62" s="2" t="inlineStr">
        <is>
          <t>not_started</t>
        </is>
      </c>
      <c r="Q62" s="2" t="inlineStr">
        <is>
          <t>not_started</t>
        </is>
      </c>
      <c r="R62" s="2" t="n"/>
      <c r="S62" s="2" t="n"/>
      <c r="T62" s="3" t="n"/>
      <c r="U62" s="2" t="inlineStr">
        <is>
          <t>05 FF&amp;E</t>
        </is>
      </c>
      <c r="V62" s="2" t="n">
        <v>29</v>
      </c>
      <c r="W62" s="5" t="n">
        <v>46272.71873991584</v>
      </c>
      <c r="X62" s="2" t="inlineStr">
        <is>
          <t>system</t>
        </is>
      </c>
      <c r="Y62" s="2" t="inlineStr">
        <is>
          <t>696e725b-7d0b-5f49-b3b9-3ae938e43085</t>
        </is>
      </c>
    </row>
    <row r="63">
      <c r="A63" s="6" t="inlineStr">
        <is>
          <t>05</t>
        </is>
      </c>
      <c r="B63" s="6" t="inlineStr">
        <is>
          <t>FF&amp;E</t>
        </is>
      </c>
      <c r="C63" s="6" t="n">
        <v>62</v>
      </c>
      <c r="D63" s="7" t="inlineStr">
        <is>
          <t>Furniture</t>
        </is>
      </c>
      <c r="E63" s="6" t="inlineStr">
        <is>
          <t>CUSH-04</t>
        </is>
      </c>
      <c r="F63" s="6" t="n"/>
      <c r="G63" s="7" t="inlineStr">
        <is>
          <t>Decorative cushion</t>
        </is>
      </c>
      <c r="H63" s="7" t="n"/>
      <c r="I63" s="6" t="inlineStr">
        <is>
          <t>CUSTOM</t>
        </is>
      </c>
      <c r="J63" s="6" t="inlineStr">
        <is>
          <t>SQUARE</t>
        </is>
      </c>
      <c r="K63" s="8" t="n">
        <v>2</v>
      </c>
      <c r="L63" s="6" t="n"/>
      <c r="M63" s="6" t="n"/>
      <c r="N63" s="6" t="n"/>
      <c r="O63" s="6" t="inlineStr">
        <is>
          <t>unknown</t>
        </is>
      </c>
      <c r="P63" s="6" t="inlineStr">
        <is>
          <t>not_started</t>
        </is>
      </c>
      <c r="Q63" s="6" t="inlineStr">
        <is>
          <t>not_started</t>
        </is>
      </c>
      <c r="R63" s="6" t="n"/>
      <c r="S63" s="6" t="n"/>
      <c r="T63" s="7" t="n"/>
      <c r="U63" s="6" t="inlineStr">
        <is>
          <t>05 FF&amp;E</t>
        </is>
      </c>
      <c r="V63" s="6" t="n">
        <v>30</v>
      </c>
      <c r="W63" s="9" t="n">
        <v>46272.71873991584</v>
      </c>
      <c r="X63" s="6" t="inlineStr">
        <is>
          <t>system</t>
        </is>
      </c>
      <c r="Y63" s="6" t="inlineStr">
        <is>
          <t>19915b7b-9362-59d2-8b2d-45b773ea6c18</t>
        </is>
      </c>
    </row>
    <row r="64">
      <c r="A64" s="2" t="inlineStr">
        <is>
          <t>05</t>
        </is>
      </c>
      <c r="B64" s="2" t="inlineStr">
        <is>
          <t>FF&amp;E</t>
        </is>
      </c>
      <c r="C64" s="2" t="n">
        <v>63</v>
      </c>
      <c r="D64" s="3" t="inlineStr">
        <is>
          <t>Furniture</t>
        </is>
      </c>
      <c r="E64" s="2" t="inlineStr">
        <is>
          <t>CUSH-05</t>
        </is>
      </c>
      <c r="F64" s="2" t="n"/>
      <c r="G64" s="3" t="inlineStr">
        <is>
          <t>Decorative cushion</t>
        </is>
      </c>
      <c r="H64" s="3" t="n"/>
      <c r="I64" s="2" t="inlineStr">
        <is>
          <t>CUSTOM</t>
        </is>
      </c>
      <c r="J64" s="2" t="inlineStr">
        <is>
          <t>RECTANGULAR</t>
        </is>
      </c>
      <c r="K64" s="4" t="n">
        <v>1</v>
      </c>
      <c r="L64" s="2" t="n"/>
      <c r="M64" s="2" t="n"/>
      <c r="N64" s="2" t="n"/>
      <c r="O64" s="2" t="inlineStr">
        <is>
          <t>unknown</t>
        </is>
      </c>
      <c r="P64" s="2" t="inlineStr">
        <is>
          <t>not_started</t>
        </is>
      </c>
      <c r="Q64" s="2" t="inlineStr">
        <is>
          <t>not_started</t>
        </is>
      </c>
      <c r="R64" s="2" t="n"/>
      <c r="S64" s="2" t="n"/>
      <c r="T64" s="3" t="n"/>
      <c r="U64" s="2" t="inlineStr">
        <is>
          <t>05 FF&amp;E</t>
        </is>
      </c>
      <c r="V64" s="2" t="n">
        <v>31</v>
      </c>
      <c r="W64" s="5" t="n">
        <v>46272.71873991584</v>
      </c>
      <c r="X64" s="2" t="inlineStr">
        <is>
          <t>system</t>
        </is>
      </c>
      <c r="Y64" s="2" t="inlineStr">
        <is>
          <t>a2bf0cfa-d35a-56f3-ab99-b69830f878b0</t>
        </is>
      </c>
    </row>
    <row r="65">
      <c r="A65" s="6" t="inlineStr">
        <is>
          <t>05</t>
        </is>
      </c>
      <c r="B65" s="6" t="inlineStr">
        <is>
          <t>FF&amp;E</t>
        </is>
      </c>
      <c r="C65" s="6" t="n">
        <v>64</v>
      </c>
      <c r="D65" s="7" t="inlineStr">
        <is>
          <t>Furniture</t>
        </is>
      </c>
      <c r="E65" s="6" t="inlineStr">
        <is>
          <t>CUSH-06</t>
        </is>
      </c>
      <c r="F65" s="6" t="n"/>
      <c r="G65" s="7" t="inlineStr">
        <is>
          <t>SEAT CUSHION</t>
        </is>
      </c>
      <c r="H65" s="7" t="n"/>
      <c r="I65" s="6" t="inlineStr">
        <is>
          <t>CUSTOM</t>
        </is>
      </c>
      <c r="J65" s="6" t="inlineStr">
        <is>
          <t>CUSTOM MADE</t>
        </is>
      </c>
      <c r="K65" s="8" t="n">
        <v>1</v>
      </c>
      <c r="L65" s="6" t="n"/>
      <c r="M65" s="6" t="n"/>
      <c r="N65" s="6" t="n"/>
      <c r="O65" s="6" t="inlineStr">
        <is>
          <t>unknown</t>
        </is>
      </c>
      <c r="P65" s="6" t="inlineStr">
        <is>
          <t>not_started</t>
        </is>
      </c>
      <c r="Q65" s="6" t="inlineStr">
        <is>
          <t>not_started</t>
        </is>
      </c>
      <c r="R65" s="6" t="n"/>
      <c r="S65" s="6" t="n"/>
      <c r="T65" s="7" t="n"/>
      <c r="U65" s="6" t="inlineStr">
        <is>
          <t>05 FF&amp;E</t>
        </is>
      </c>
      <c r="V65" s="6" t="n">
        <v>32</v>
      </c>
      <c r="W65" s="9" t="n">
        <v>46272.71873991584</v>
      </c>
      <c r="X65" s="6" t="inlineStr">
        <is>
          <t>system</t>
        </is>
      </c>
      <c r="Y65" s="6" t="inlineStr">
        <is>
          <t>7b07b270-3667-5239-8737-f7f4e1a0fe9d</t>
        </is>
      </c>
    </row>
    <row r="66">
      <c r="A66" s="2" t="inlineStr">
        <is>
          <t>05</t>
        </is>
      </c>
      <c r="B66" s="2" t="inlineStr">
        <is>
          <t>FF&amp;E</t>
        </is>
      </c>
      <c r="C66" s="2" t="n">
        <v>65</v>
      </c>
      <c r="D66" s="3" t="inlineStr">
        <is>
          <t>Furniture</t>
        </is>
      </c>
      <c r="E66" s="2" t="inlineStr">
        <is>
          <t>CUSH-07</t>
        </is>
      </c>
      <c r="F66" s="2" t="n"/>
      <c r="G66" s="3" t="inlineStr">
        <is>
          <t>Decorative cushion</t>
        </is>
      </c>
      <c r="H66" s="3" t="n"/>
      <c r="I66" s="2" t="inlineStr">
        <is>
          <t>CUSTOM</t>
        </is>
      </c>
      <c r="J66" s="2" t="inlineStr">
        <is>
          <t>CUSTOM MADE</t>
        </is>
      </c>
      <c r="K66" s="4" t="n">
        <v>1</v>
      </c>
      <c r="L66" s="2" t="n"/>
      <c r="M66" s="2" t="n"/>
      <c r="N66" s="2" t="n"/>
      <c r="O66" s="2" t="inlineStr">
        <is>
          <t>unknown</t>
        </is>
      </c>
      <c r="P66" s="2" t="inlineStr">
        <is>
          <t>not_started</t>
        </is>
      </c>
      <c r="Q66" s="2" t="inlineStr">
        <is>
          <t>not_started</t>
        </is>
      </c>
      <c r="R66" s="2" t="n"/>
      <c r="S66" s="2" t="n"/>
      <c r="T66" s="3" t="n"/>
      <c r="U66" s="2" t="inlineStr">
        <is>
          <t>05 FF&amp;E</t>
        </is>
      </c>
      <c r="V66" s="2" t="n">
        <v>33</v>
      </c>
      <c r="W66" s="5" t="n">
        <v>46272.71873991584</v>
      </c>
      <c r="X66" s="2" t="inlineStr">
        <is>
          <t>system</t>
        </is>
      </c>
      <c r="Y66" s="2" t="inlineStr">
        <is>
          <t>14c2e05c-15ad-569b-823b-3b1f7fa1d00a</t>
        </is>
      </c>
    </row>
    <row r="67">
      <c r="A67" s="6" t="inlineStr">
        <is>
          <t>05</t>
        </is>
      </c>
      <c r="B67" s="6" t="inlineStr">
        <is>
          <t>FF&amp;E</t>
        </is>
      </c>
      <c r="C67" s="6" t="n">
        <v>66</v>
      </c>
      <c r="D67" s="7" t="inlineStr">
        <is>
          <t>Furniture</t>
        </is>
      </c>
      <c r="E67" s="6" t="inlineStr">
        <is>
          <t>CUSH-11</t>
        </is>
      </c>
      <c r="F67" s="6" t="n"/>
      <c r="G67" s="7" t="inlineStr">
        <is>
          <t>SEAT CUSHION</t>
        </is>
      </c>
      <c r="H67" s="7" t="n"/>
      <c r="I67" s="6" t="inlineStr">
        <is>
          <t>CUSTOM</t>
        </is>
      </c>
      <c r="J67" s="6" t="inlineStr">
        <is>
          <t>CUSTOM MADE</t>
        </is>
      </c>
      <c r="K67" s="8" t="n">
        <v>1</v>
      </c>
      <c r="L67" s="6" t="n"/>
      <c r="M67" s="6" t="n"/>
      <c r="N67" s="6" t="n"/>
      <c r="O67" s="6" t="inlineStr">
        <is>
          <t>unknown</t>
        </is>
      </c>
      <c r="P67" s="6" t="inlineStr">
        <is>
          <t>not_started</t>
        </is>
      </c>
      <c r="Q67" s="6" t="inlineStr">
        <is>
          <t>not_started</t>
        </is>
      </c>
      <c r="R67" s="6" t="n"/>
      <c r="S67" s="6" t="n"/>
      <c r="T67" s="7" t="n"/>
      <c r="U67" s="6" t="inlineStr">
        <is>
          <t>05 FF&amp;E</t>
        </is>
      </c>
      <c r="V67" s="6" t="n">
        <v>34</v>
      </c>
      <c r="W67" s="9" t="n">
        <v>46272.71873991584</v>
      </c>
      <c r="X67" s="6" t="inlineStr">
        <is>
          <t>system</t>
        </is>
      </c>
      <c r="Y67" s="6" t="inlineStr">
        <is>
          <t>0c002ac4-bdd6-59f9-9a97-abf95b6be7d6</t>
        </is>
      </c>
    </row>
    <row r="68">
      <c r="A68" s="2" t="inlineStr">
        <is>
          <t>05</t>
        </is>
      </c>
      <c r="B68" s="2" t="inlineStr">
        <is>
          <t>FF&amp;E</t>
        </is>
      </c>
      <c r="C68" s="2" t="n">
        <v>67</v>
      </c>
      <c r="D68" s="3" t="inlineStr">
        <is>
          <t>Furniture</t>
        </is>
      </c>
      <c r="E68" s="2" t="inlineStr">
        <is>
          <t>FURN-01</t>
        </is>
      </c>
      <c r="F68" s="2" t="n"/>
      <c r="G68" s="3" t="inlineStr">
        <is>
          <t>Foot Stool</t>
        </is>
      </c>
      <c r="H68" s="3" t="inlineStr">
        <is>
          <t>Bathroom &amp; Walk in Closet</t>
        </is>
      </c>
      <c r="I68" s="2" t="inlineStr">
        <is>
          <t>CARL HANSEN &amp; SON (Hans J. Wegner)</t>
        </is>
      </c>
      <c r="J68" s="2" t="inlineStr">
        <is>
          <t>CH53</t>
        </is>
      </c>
      <c r="K68" s="4" t="n">
        <v>1</v>
      </c>
      <c r="L68" s="2" t="n"/>
      <c r="M68" s="2" t="n"/>
      <c r="N68" s="2" t="n"/>
      <c r="O68" s="2" t="inlineStr">
        <is>
          <t>unknown</t>
        </is>
      </c>
      <c r="P68" s="2" t="inlineStr">
        <is>
          <t>not_started</t>
        </is>
      </c>
      <c r="Q68" s="2" t="inlineStr">
        <is>
          <t>not_started</t>
        </is>
      </c>
      <c r="R68" s="10" t="inlineStr">
        <is>
          <t>https://www.carlhansen.com/en/en/collection/footrests-stools/ch53-h43</t>
        </is>
      </c>
      <c r="S68" s="2" t="n"/>
      <c r="T68" s="3" t="n"/>
      <c r="U68" s="2" t="inlineStr">
        <is>
          <t>05 FF&amp;E</t>
        </is>
      </c>
      <c r="V68" s="2" t="n">
        <v>35</v>
      </c>
      <c r="W68" s="5" t="n">
        <v>46272.71873991584</v>
      </c>
      <c r="X68" s="2" t="inlineStr">
        <is>
          <t>system</t>
        </is>
      </c>
      <c r="Y68" s="2" t="inlineStr">
        <is>
          <t>07c563ef-7b63-510c-9eb9-832359215c28</t>
        </is>
      </c>
    </row>
    <row r="69">
      <c r="A69" s="6" t="inlineStr">
        <is>
          <t>05</t>
        </is>
      </c>
      <c r="B69" s="6" t="inlineStr">
        <is>
          <t>FF&amp;E</t>
        </is>
      </c>
      <c r="C69" s="6" t="n">
        <v>68</v>
      </c>
      <c r="D69" s="7" t="inlineStr">
        <is>
          <t>Furniture</t>
        </is>
      </c>
      <c r="E69" s="6" t="inlineStr">
        <is>
          <t>FURN-02</t>
        </is>
      </c>
      <c r="F69" s="6" t="n"/>
      <c r="G69" s="7" t="inlineStr">
        <is>
          <t>Dining Chair</t>
        </is>
      </c>
      <c r="H69" s="7" t="inlineStr">
        <is>
          <t>Bedroom / Outdoor Terrace</t>
        </is>
      </c>
      <c r="I69" s="6" t="inlineStr">
        <is>
          <t>BRDR. KRUGER</t>
        </is>
      </c>
      <c r="J69" s="6" t="inlineStr">
        <is>
          <t>ARV chair</t>
        </is>
      </c>
      <c r="K69" s="8" t="n">
        <v>1</v>
      </c>
      <c r="L69" s="6" t="n"/>
      <c r="M69" s="6" t="n"/>
      <c r="N69" s="6" t="n"/>
      <c r="O69" s="6" t="inlineStr">
        <is>
          <t>unknown</t>
        </is>
      </c>
      <c r="P69" s="6" t="inlineStr">
        <is>
          <t>not_started</t>
        </is>
      </c>
      <c r="Q69" s="6" t="inlineStr">
        <is>
          <t>not_started</t>
        </is>
      </c>
      <c r="R69" s="6" t="n"/>
      <c r="S69" s="6" t="n"/>
      <c r="T69" s="7" t="n"/>
      <c r="U69" s="6" t="inlineStr">
        <is>
          <t>05 FF&amp;E</t>
        </is>
      </c>
      <c r="V69" s="6" t="n">
        <v>36</v>
      </c>
      <c r="W69" s="9" t="n">
        <v>46272.71881330984</v>
      </c>
      <c r="X69" s="6" t="inlineStr">
        <is>
          <t>system</t>
        </is>
      </c>
      <c r="Y69" s="6" t="inlineStr">
        <is>
          <t>f001ddec-8ef1-5378-848a-1710bdbec1d3</t>
        </is>
      </c>
    </row>
    <row r="70">
      <c r="A70" s="2" t="inlineStr">
        <is>
          <t>05</t>
        </is>
      </c>
      <c r="B70" s="2" t="inlineStr">
        <is>
          <t>FF&amp;E</t>
        </is>
      </c>
      <c r="C70" s="2" t="n">
        <v>69</v>
      </c>
      <c r="D70" s="3" t="inlineStr">
        <is>
          <t>Furniture</t>
        </is>
      </c>
      <c r="E70" s="2" t="inlineStr">
        <is>
          <t>FURN-04</t>
        </is>
      </c>
      <c r="F70" s="2" t="n"/>
      <c r="G70" s="3" t="inlineStr">
        <is>
          <t>"Mesa Recinto" Colección Brutal</t>
        </is>
      </c>
      <c r="H70" s="3" t="inlineStr">
        <is>
          <t>Bedroom (Booth)</t>
        </is>
      </c>
      <c r="I70" s="2" t="inlineStr">
        <is>
          <t>Habitación 116</t>
        </is>
      </c>
      <c r="J70" s="2" t="inlineStr">
        <is>
          <t>Mesa recinto</t>
        </is>
      </c>
      <c r="K70" s="4" t="n">
        <v>1</v>
      </c>
      <c r="L70" s="2" t="n"/>
      <c r="M70" s="2" t="n"/>
      <c r="N70" s="2" t="n"/>
      <c r="O70" s="2" t="inlineStr">
        <is>
          <t>unknown</t>
        </is>
      </c>
      <c r="P70" s="2" t="inlineStr">
        <is>
          <t>not_started</t>
        </is>
      </c>
      <c r="Q70" s="2" t="inlineStr">
        <is>
          <t>not_started</t>
        </is>
      </c>
      <c r="R70" s="2" t="n"/>
      <c r="S70" s="2" t="n"/>
      <c r="T70" s="3" t="n"/>
      <c r="U70" s="2" t="inlineStr">
        <is>
          <t>05 FF&amp;E</t>
        </is>
      </c>
      <c r="V70" s="2" t="n">
        <v>37</v>
      </c>
      <c r="W70" s="5" t="n">
        <v>46272.71881330984</v>
      </c>
      <c r="X70" s="2" t="inlineStr">
        <is>
          <t>system</t>
        </is>
      </c>
      <c r="Y70" s="2" t="inlineStr">
        <is>
          <t>93f10fd8-a7c1-5437-a1d9-999bff109f8f</t>
        </is>
      </c>
    </row>
    <row r="71">
      <c r="A71" s="6" t="inlineStr">
        <is>
          <t>05</t>
        </is>
      </c>
      <c r="B71" s="6" t="inlineStr">
        <is>
          <t>FF&amp;E</t>
        </is>
      </c>
      <c r="C71" s="6" t="n">
        <v>70</v>
      </c>
      <c r="D71" s="7" t="inlineStr">
        <is>
          <t>Furniture</t>
        </is>
      </c>
      <c r="E71" s="6" t="inlineStr">
        <is>
          <t>FURN-05</t>
        </is>
      </c>
      <c r="F71" s="6" t="n"/>
      <c r="G71" s="7" t="inlineStr">
        <is>
          <t>"Mesa Recinto 90" Colección Brutal</t>
        </is>
      </c>
      <c r="H71" s="7" t="inlineStr">
        <is>
          <t>Outdoor Terrace</t>
        </is>
      </c>
      <c r="I71" s="6" t="inlineStr">
        <is>
          <t>Habitación 116</t>
        </is>
      </c>
      <c r="J71" s="6" t="inlineStr">
        <is>
          <t>Mesa recinto 80</t>
        </is>
      </c>
      <c r="K71" s="8" t="n">
        <v>1</v>
      </c>
      <c r="L71" s="6" t="n"/>
      <c r="M71" s="6" t="n"/>
      <c r="N71" s="6" t="n"/>
      <c r="O71" s="6" t="inlineStr">
        <is>
          <t>unknown</t>
        </is>
      </c>
      <c r="P71" s="6" t="inlineStr">
        <is>
          <t>not_started</t>
        </is>
      </c>
      <c r="Q71" s="6" t="inlineStr">
        <is>
          <t>not_started</t>
        </is>
      </c>
      <c r="R71" s="6" t="n"/>
      <c r="S71" s="6" t="n"/>
      <c r="T71" s="7" t="n"/>
      <c r="U71" s="6" t="inlineStr">
        <is>
          <t>05 FF&amp;E</t>
        </is>
      </c>
      <c r="V71" s="6" t="n">
        <v>38</v>
      </c>
      <c r="W71" s="9" t="n">
        <v>46272.71881330984</v>
      </c>
      <c r="X71" s="6" t="inlineStr">
        <is>
          <t>system</t>
        </is>
      </c>
      <c r="Y71" s="6" t="inlineStr">
        <is>
          <t>e167548a-82a0-523f-9c21-665b90d17d65</t>
        </is>
      </c>
    </row>
    <row r="72">
      <c r="A72" s="2" t="inlineStr">
        <is>
          <t>05</t>
        </is>
      </c>
      <c r="B72" s="2" t="inlineStr">
        <is>
          <t>FF&amp;E</t>
        </is>
      </c>
      <c r="C72" s="2" t="n">
        <v>71</v>
      </c>
      <c r="D72" s="3" t="inlineStr">
        <is>
          <t>Furniture</t>
        </is>
      </c>
      <c r="E72" s="2" t="inlineStr">
        <is>
          <t>FURN-06</t>
        </is>
      </c>
      <c r="F72" s="2" t="n"/>
      <c r="G72" s="3" t="inlineStr">
        <is>
          <t>"Tambor" Colección Brutal</t>
        </is>
      </c>
      <c r="H72" s="3" t="inlineStr">
        <is>
          <t>Outdoor Terrace</t>
        </is>
      </c>
      <c r="I72" s="2" t="inlineStr">
        <is>
          <t>Habitación 116</t>
        </is>
      </c>
      <c r="J72" s="2" t="inlineStr">
        <is>
          <t>Tambor brutal</t>
        </is>
      </c>
      <c r="K72" s="4" t="n">
        <v>1</v>
      </c>
      <c r="L72" s="2" t="n"/>
      <c r="M72" s="2" t="n"/>
      <c r="N72" s="2" t="n"/>
      <c r="O72" s="2" t="inlineStr">
        <is>
          <t>unknown</t>
        </is>
      </c>
      <c r="P72" s="2" t="inlineStr">
        <is>
          <t>not_started</t>
        </is>
      </c>
      <c r="Q72" s="2" t="inlineStr">
        <is>
          <t>not_started</t>
        </is>
      </c>
      <c r="R72" s="2" t="n"/>
      <c r="S72" s="2" t="n"/>
      <c r="T72" s="3" t="n"/>
      <c r="U72" s="2" t="inlineStr">
        <is>
          <t>05 FF&amp;E</t>
        </is>
      </c>
      <c r="V72" s="2" t="n">
        <v>39</v>
      </c>
      <c r="W72" s="5" t="n">
        <v>46272.71881330984</v>
      </c>
      <c r="X72" s="2" t="inlineStr">
        <is>
          <t>system</t>
        </is>
      </c>
      <c r="Y72" s="2" t="inlineStr">
        <is>
          <t>27580fab-8974-5143-a4e5-4b77a74e6637</t>
        </is>
      </c>
    </row>
    <row r="73">
      <c r="A73" s="6" t="inlineStr">
        <is>
          <t>05</t>
        </is>
      </c>
      <c r="B73" s="6" t="inlineStr">
        <is>
          <t>FF&amp;E</t>
        </is>
      </c>
      <c r="C73" s="6" t="n">
        <v>72</v>
      </c>
      <c r="D73" s="7" t="inlineStr">
        <is>
          <t>Furniture</t>
        </is>
      </c>
      <c r="E73" s="6" t="inlineStr">
        <is>
          <t>FURN-08</t>
        </is>
      </c>
      <c r="F73" s="6" t="n"/>
      <c r="G73" s="7" t="inlineStr">
        <is>
          <t>JANU Lounge Chair</t>
        </is>
      </c>
      <c r="H73" s="7" t="inlineStr">
        <is>
          <t>Bedroom</t>
        </is>
      </c>
      <c r="I73" s="6" t="inlineStr">
        <is>
          <t>MCE</t>
        </is>
      </c>
      <c r="J73" s="6" t="inlineStr">
        <is>
          <t>Custom made</t>
        </is>
      </c>
      <c r="K73" s="8" t="n">
        <v>1</v>
      </c>
      <c r="L73" s="6" t="n"/>
      <c r="M73" s="6" t="n"/>
      <c r="N73" s="6" t="n"/>
      <c r="O73" s="6" t="inlineStr">
        <is>
          <t>unknown</t>
        </is>
      </c>
      <c r="P73" s="6" t="inlineStr">
        <is>
          <t>not_started</t>
        </is>
      </c>
      <c r="Q73" s="6" t="inlineStr">
        <is>
          <t>not_started</t>
        </is>
      </c>
      <c r="R73" s="6" t="n"/>
      <c r="S73" s="6" t="n"/>
      <c r="T73" s="7" t="n"/>
      <c r="U73" s="6" t="inlineStr">
        <is>
          <t>05 FF&amp;E</t>
        </is>
      </c>
      <c r="V73" s="6" t="n">
        <v>40</v>
      </c>
      <c r="W73" s="9" t="n">
        <v>46272.71881330984</v>
      </c>
      <c r="X73" s="6" t="inlineStr">
        <is>
          <t>system</t>
        </is>
      </c>
      <c r="Y73" s="6" t="inlineStr">
        <is>
          <t>90c87cdc-f039-581f-9abd-094813640383</t>
        </is>
      </c>
    </row>
    <row r="74">
      <c r="A74" s="2" t="inlineStr">
        <is>
          <t>05</t>
        </is>
      </c>
      <c r="B74" s="2" t="inlineStr">
        <is>
          <t>FF&amp;E</t>
        </is>
      </c>
      <c r="C74" s="2" t="n">
        <v>73</v>
      </c>
      <c r="D74" s="3" t="inlineStr">
        <is>
          <t>Furniture</t>
        </is>
      </c>
      <c r="E74" s="2" t="inlineStr">
        <is>
          <t>FURN-09</t>
        </is>
      </c>
      <c r="F74" s="2" t="n"/>
      <c r="G74" s="3" t="inlineStr">
        <is>
          <t>JANU Nightstand</t>
        </is>
      </c>
      <c r="H74" s="3" t="inlineStr">
        <is>
          <t>Bedroom</t>
        </is>
      </c>
      <c r="I74" s="2" t="inlineStr">
        <is>
          <t>MCE</t>
        </is>
      </c>
      <c r="J74" s="2" t="inlineStr">
        <is>
          <t>Custom made</t>
        </is>
      </c>
      <c r="K74" s="4" t="n">
        <v>1</v>
      </c>
      <c r="L74" s="2" t="n"/>
      <c r="M74" s="2" t="n"/>
      <c r="N74" s="2" t="n"/>
      <c r="O74" s="2" t="inlineStr">
        <is>
          <t>unknown</t>
        </is>
      </c>
      <c r="P74" s="2" t="inlineStr">
        <is>
          <t>not_started</t>
        </is>
      </c>
      <c r="Q74" s="2" t="inlineStr">
        <is>
          <t>not_started</t>
        </is>
      </c>
      <c r="R74" s="2" t="n"/>
      <c r="S74" s="2" t="n"/>
      <c r="T74" s="3" t="inlineStr">
        <is>
          <t>Possible overlap with 06 Millwork › Nightstands — verify</t>
        </is>
      </c>
      <c r="U74" s="2" t="inlineStr">
        <is>
          <t>05 FF&amp;E</t>
        </is>
      </c>
      <c r="V74" s="2" t="n">
        <v>41</v>
      </c>
      <c r="W74" s="5" t="n">
        <v>46272.71881330984</v>
      </c>
      <c r="X74" s="2" t="inlineStr">
        <is>
          <t>system</t>
        </is>
      </c>
      <c r="Y74" s="2" t="inlineStr">
        <is>
          <t>41bd1f15-8499-5b9d-8946-42d1cef0cae9</t>
        </is>
      </c>
    </row>
    <row r="75">
      <c r="A75" s="6" t="inlineStr">
        <is>
          <t>05</t>
        </is>
      </c>
      <c r="B75" s="6" t="inlineStr">
        <is>
          <t>FF&amp;E</t>
        </is>
      </c>
      <c r="C75" s="6" t="n">
        <v>74</v>
      </c>
      <c r="D75" s="7" t="inlineStr">
        <is>
          <t>Furniture</t>
        </is>
      </c>
      <c r="E75" s="6" t="inlineStr">
        <is>
          <t>FURN-10</t>
        </is>
      </c>
      <c r="F75" s="6" t="n"/>
      <c r="G75" s="7" t="inlineStr">
        <is>
          <t>Tray</t>
        </is>
      </c>
      <c r="H75" s="7" t="inlineStr">
        <is>
          <t>Outdoor Bench / Outdoor Living</t>
        </is>
      </c>
      <c r="I75" s="6" t="inlineStr">
        <is>
          <t>MCE</t>
        </is>
      </c>
      <c r="J75" s="6" t="inlineStr">
        <is>
          <t>Custom made</t>
        </is>
      </c>
      <c r="K75" s="8" t="n">
        <v>2</v>
      </c>
      <c r="L75" s="6" t="n"/>
      <c r="M75" s="6" t="n"/>
      <c r="N75" s="6" t="n"/>
      <c r="O75" s="6" t="inlineStr">
        <is>
          <t>unknown</t>
        </is>
      </c>
      <c r="P75" s="6" t="inlineStr">
        <is>
          <t>not_started</t>
        </is>
      </c>
      <c r="Q75" s="6" t="inlineStr">
        <is>
          <t>not_started</t>
        </is>
      </c>
      <c r="R75" s="6" t="n"/>
      <c r="S75" s="6" t="n"/>
      <c r="T75" s="7" t="n"/>
      <c r="U75" s="6" t="inlineStr">
        <is>
          <t>05 FF&amp;E</t>
        </is>
      </c>
      <c r="V75" s="6" t="n">
        <v>42</v>
      </c>
      <c r="W75" s="9" t="n">
        <v>46272.71881330984</v>
      </c>
      <c r="X75" s="6" t="inlineStr">
        <is>
          <t>system</t>
        </is>
      </c>
      <c r="Y75" s="6" t="inlineStr">
        <is>
          <t>e4e1fae7-02ef-50aa-9d85-841e4118ad8c</t>
        </is>
      </c>
    </row>
    <row r="76">
      <c r="A76" s="2" t="inlineStr">
        <is>
          <t>05</t>
        </is>
      </c>
      <c r="B76" s="2" t="inlineStr">
        <is>
          <t>FF&amp;E</t>
        </is>
      </c>
      <c r="C76" s="2" t="n">
        <v>75</v>
      </c>
      <c r="D76" s="3" t="inlineStr">
        <is>
          <t>Furniture</t>
        </is>
      </c>
      <c r="E76" s="2" t="inlineStr">
        <is>
          <t>FURN-07</t>
        </is>
      </c>
      <c r="F76" s="2" t="n"/>
      <c r="G76" s="3" t="inlineStr">
        <is>
          <t>JANU Lounge Chair</t>
        </is>
      </c>
      <c r="H76" s="3" t="inlineStr">
        <is>
          <t>Outdoor shower</t>
        </is>
      </c>
      <c r="I76" s="2" t="inlineStr">
        <is>
          <t>POLIFORM</t>
        </is>
      </c>
      <c r="J76" s="2" t="inlineStr">
        <is>
          <t>DAMA</t>
        </is>
      </c>
      <c r="K76" s="4" t="n">
        <v>1</v>
      </c>
      <c r="L76" s="2" t="n"/>
      <c r="M76" s="2" t="n"/>
      <c r="N76" s="2" t="n"/>
      <c r="O76" s="2" t="inlineStr">
        <is>
          <t>unknown</t>
        </is>
      </c>
      <c r="P76" s="2" t="inlineStr">
        <is>
          <t>not_started</t>
        </is>
      </c>
      <c r="Q76" s="2" t="inlineStr">
        <is>
          <t>not_started</t>
        </is>
      </c>
      <c r="R76" s="2" t="n"/>
      <c r="S76" s="2" t="n"/>
      <c r="T76" s="3" t="n"/>
      <c r="U76" s="2" t="inlineStr">
        <is>
          <t>05 FF&amp;E</t>
        </is>
      </c>
      <c r="V76" s="2" t="n">
        <v>43</v>
      </c>
      <c r="W76" s="5" t="n">
        <v>46272.71881330984</v>
      </c>
      <c r="X76" s="2" t="inlineStr">
        <is>
          <t>system</t>
        </is>
      </c>
      <c r="Y76" s="2" t="inlineStr">
        <is>
          <t>72599d0b-21cf-588a-8e1f-4b502d36c0a3</t>
        </is>
      </c>
    </row>
    <row r="77">
      <c r="A77" s="6" t="inlineStr">
        <is>
          <t>05</t>
        </is>
      </c>
      <c r="B77" s="6" t="inlineStr">
        <is>
          <t>FF&amp;E</t>
        </is>
      </c>
      <c r="C77" s="6" t="n">
        <v>76</v>
      </c>
      <c r="D77" s="7" t="inlineStr">
        <is>
          <t>Furniture</t>
        </is>
      </c>
      <c r="E77" s="6" t="inlineStr">
        <is>
          <t>FURN-03</t>
        </is>
      </c>
      <c r="F77" s="6" t="n"/>
      <c r="G77" s="7" t="inlineStr">
        <is>
          <t>Lounge Chair</t>
        </is>
      </c>
      <c r="H77" s="7" t="inlineStr">
        <is>
          <t>Outdoor Terrace</t>
        </is>
      </c>
      <c r="I77" s="6" t="inlineStr">
        <is>
          <t>TRIBÚ</t>
        </is>
      </c>
      <c r="J77" s="6" t="inlineStr">
        <is>
          <t>KOS lounge chair</t>
        </is>
      </c>
      <c r="K77" s="8" t="n">
        <v>1</v>
      </c>
      <c r="L77" s="6" t="n"/>
      <c r="M77" s="6" t="n"/>
      <c r="N77" s="6" t="n"/>
      <c r="O77" s="6" t="inlineStr">
        <is>
          <t>unknown</t>
        </is>
      </c>
      <c r="P77" s="6" t="inlineStr">
        <is>
          <t>not_started</t>
        </is>
      </c>
      <c r="Q77" s="6" t="inlineStr">
        <is>
          <t>not_started</t>
        </is>
      </c>
      <c r="R77" s="10" t="inlineStr">
        <is>
          <t>https://www.tribu.com/en/collections/kos/lounge-chair/</t>
        </is>
      </c>
      <c r="S77" s="6" t="n"/>
      <c r="T77" s="7" t="n"/>
      <c r="U77" s="6" t="inlineStr">
        <is>
          <t>05 FF&amp;E</t>
        </is>
      </c>
      <c r="V77" s="6" t="n">
        <v>44</v>
      </c>
      <c r="W77" s="9" t="n">
        <v>46272.71881330984</v>
      </c>
      <c r="X77" s="6" t="inlineStr">
        <is>
          <t>system</t>
        </is>
      </c>
      <c r="Y77" s="6" t="inlineStr">
        <is>
          <t>ca1b16e7-85df-5ce9-8083-987b044b3de5</t>
        </is>
      </c>
    </row>
    <row r="78">
      <c r="A78" s="2" t="inlineStr">
        <is>
          <t>06</t>
        </is>
      </c>
      <c r="B78" s="2" t="inlineStr">
        <is>
          <t>Millwork &amp; Joinery</t>
        </is>
      </c>
      <c r="C78" s="2" t="n">
        <v>77</v>
      </c>
      <c r="D78" s="3" t="inlineStr">
        <is>
          <t>Artwork, Booth &amp; Nightstands</t>
        </is>
      </c>
      <c r="E78" s="2" t="inlineStr">
        <is>
          <t>1</t>
        </is>
      </c>
      <c r="F78" s="2" t="n"/>
      <c r="G78" s="3" t="inlineStr">
        <is>
          <t>Artwork surround</t>
        </is>
      </c>
      <c r="H78" s="3" t="inlineStr">
        <is>
          <t>Bedroom</t>
        </is>
      </c>
      <c r="I78" s="2" t="inlineStr">
        <is>
          <t>CBM Millwork</t>
        </is>
      </c>
      <c r="J78" s="2" t="n"/>
      <c r="K78" s="4" t="n">
        <v>1</v>
      </c>
      <c r="L78" s="2" t="n"/>
      <c r="M78" s="2" t="inlineStr">
        <is>
          <t>assy</t>
        </is>
      </c>
      <c r="N78" s="2" t="inlineStr">
        <is>
          <t>A11-09</t>
        </is>
      </c>
      <c r="O78" s="2" t="inlineStr">
        <is>
          <t>in_progress</t>
        </is>
      </c>
      <c r="P78" s="2" t="inlineStr">
        <is>
          <t>not_started</t>
        </is>
      </c>
      <c r="Q78" s="2" t="inlineStr">
        <is>
          <t>not_started</t>
        </is>
      </c>
      <c r="R78" s="2" t="n"/>
      <c r="S78" s="2" t="n"/>
      <c r="T78" s="3" t="n"/>
      <c r="U78" s="2" t="inlineStr">
        <is>
          <t>06 Millwork &amp; Joinery</t>
        </is>
      </c>
      <c r="V78" s="2" t="n">
        <v>5</v>
      </c>
      <c r="W78" s="5" t="n">
        <v>46272.71881330984</v>
      </c>
      <c r="X78" s="2" t="inlineStr">
        <is>
          <t>system</t>
        </is>
      </c>
      <c r="Y78" s="2" t="inlineStr">
        <is>
          <t>5d015189-eb39-55f9-adc2-2f5f051f7398</t>
        </is>
      </c>
    </row>
    <row r="79">
      <c r="A79" s="6" t="inlineStr">
        <is>
          <t>06</t>
        </is>
      </c>
      <c r="B79" s="6" t="inlineStr">
        <is>
          <t>Millwork &amp; Joinery</t>
        </is>
      </c>
      <c r="C79" s="6" t="n">
        <v>78</v>
      </c>
      <c r="D79" s="7" t="inlineStr">
        <is>
          <t>Artwork, Booth &amp; Nightstands</t>
        </is>
      </c>
      <c r="E79" s="6" t="inlineStr">
        <is>
          <t>2</t>
        </is>
      </c>
      <c r="F79" s="6" t="n"/>
      <c r="G79" s="7" t="inlineStr">
        <is>
          <t>Booth / banquette joinery</t>
        </is>
      </c>
      <c r="H79" s="7" t="n"/>
      <c r="I79" s="6" t="inlineStr">
        <is>
          <t>CBM Millwork</t>
        </is>
      </c>
      <c r="J79" s="6" t="n"/>
      <c r="K79" s="8" t="n">
        <v>1</v>
      </c>
      <c r="L79" s="6" t="n"/>
      <c r="M79" s="6" t="inlineStr">
        <is>
          <t>assy</t>
        </is>
      </c>
      <c r="N79" s="6" t="inlineStr">
        <is>
          <t>A11-10</t>
        </is>
      </c>
      <c r="O79" s="6" t="inlineStr">
        <is>
          <t>in_progress</t>
        </is>
      </c>
      <c r="P79" s="6" t="inlineStr">
        <is>
          <t>not_started</t>
        </is>
      </c>
      <c r="Q79" s="6" t="inlineStr">
        <is>
          <t>not_started</t>
        </is>
      </c>
      <c r="R79" s="6" t="n"/>
      <c r="S79" s="6" t="n"/>
      <c r="T79" s="7" t="n"/>
      <c r="U79" s="6" t="inlineStr">
        <is>
          <t>06 Millwork &amp; Joinery</t>
        </is>
      </c>
      <c r="V79" s="6" t="n">
        <v>6</v>
      </c>
      <c r="W79" s="9" t="n">
        <v>46272.71881330984</v>
      </c>
      <c r="X79" s="6" t="inlineStr">
        <is>
          <t>system</t>
        </is>
      </c>
      <c r="Y79" s="6" t="inlineStr">
        <is>
          <t>fcd5fb86-d62c-5789-a4fa-98b09aba36ec</t>
        </is>
      </c>
    </row>
    <row r="80">
      <c r="A80" s="2" t="inlineStr">
        <is>
          <t>06</t>
        </is>
      </c>
      <c r="B80" s="2" t="inlineStr">
        <is>
          <t>Millwork &amp; Joinery</t>
        </is>
      </c>
      <c r="C80" s="2" t="n">
        <v>79</v>
      </c>
      <c r="D80" s="3" t="inlineStr">
        <is>
          <t>Artwork, Booth &amp; Nightstands</t>
        </is>
      </c>
      <c r="E80" s="2" t="inlineStr">
        <is>
          <t>3</t>
        </is>
      </c>
      <c r="F80" s="2" t="n"/>
      <c r="G80" s="3" t="inlineStr">
        <is>
          <t>Nightstands (left &amp; right)</t>
        </is>
      </c>
      <c r="H80" s="3" t="inlineStr">
        <is>
          <t>Bedroom</t>
        </is>
      </c>
      <c r="I80" s="2" t="inlineStr">
        <is>
          <t>CBM Millwork</t>
        </is>
      </c>
      <c r="J80" s="2" t="n"/>
      <c r="K80" s="4" t="n">
        <v>2</v>
      </c>
      <c r="L80" s="2" t="n"/>
      <c r="M80" s="2" t="inlineStr">
        <is>
          <t>pc</t>
        </is>
      </c>
      <c r="N80" s="2" t="inlineStr">
        <is>
          <t>A2-01</t>
        </is>
      </c>
      <c r="O80" s="2" t="inlineStr">
        <is>
          <t>in_progress</t>
        </is>
      </c>
      <c r="P80" s="2" t="inlineStr">
        <is>
          <t>not_started</t>
        </is>
      </c>
      <c r="Q80" s="2" t="inlineStr">
        <is>
          <t>not_started</t>
        </is>
      </c>
      <c r="R80" s="2" t="n"/>
      <c r="S80" s="2" t="n"/>
      <c r="T80" s="3" t="inlineStr">
        <is>
          <t>Mocca Cafe tops via Stonework</t>
        </is>
      </c>
      <c r="U80" s="2" t="inlineStr">
        <is>
          <t>06 Millwork &amp; Joinery</t>
        </is>
      </c>
      <c r="V80" s="2" t="n">
        <v>7</v>
      </c>
      <c r="W80" s="5" t="n">
        <v>46272.71881330984</v>
      </c>
      <c r="X80" s="2" t="inlineStr">
        <is>
          <t>system</t>
        </is>
      </c>
      <c r="Y80" s="2" t="inlineStr">
        <is>
          <t>b9a54121-7213-5aa6-99a6-f6109a95a713</t>
        </is>
      </c>
    </row>
    <row r="81">
      <c r="A81" s="6" t="inlineStr">
        <is>
          <t>06</t>
        </is>
      </c>
      <c r="B81" s="6" t="inlineStr">
        <is>
          <t>Millwork &amp; Joinery</t>
        </is>
      </c>
      <c r="C81" s="6" t="n">
        <v>80</v>
      </c>
      <c r="D81" s="7" t="inlineStr">
        <is>
          <t>Bed</t>
        </is>
      </c>
      <c r="E81" s="6" t="inlineStr">
        <is>
          <t>1</t>
        </is>
      </c>
      <c r="F81" s="6" t="n"/>
      <c r="G81" s="7" t="inlineStr">
        <is>
          <t>Bed base / platform joinery</t>
        </is>
      </c>
      <c r="H81" s="7" t="inlineStr">
        <is>
          <t>Bedroom</t>
        </is>
      </c>
      <c r="I81" s="6" t="inlineStr">
        <is>
          <t>CBM Millwork</t>
        </is>
      </c>
      <c r="J81" s="6" t="n"/>
      <c r="K81" s="8" t="n">
        <v>1</v>
      </c>
      <c r="L81" s="6" t="n"/>
      <c r="M81" s="6" t="inlineStr">
        <is>
          <t>assy</t>
        </is>
      </c>
      <c r="N81" s="6" t="inlineStr">
        <is>
          <t>A11-08</t>
        </is>
      </c>
      <c r="O81" s="6" t="inlineStr">
        <is>
          <t>in_progress</t>
        </is>
      </c>
      <c r="P81" s="6" t="inlineStr">
        <is>
          <t>not_started</t>
        </is>
      </c>
      <c r="Q81" s="6" t="inlineStr">
        <is>
          <t>not_started</t>
        </is>
      </c>
      <c r="R81" s="6" t="n"/>
      <c r="S81" s="6" t="n"/>
      <c r="T81" s="7" t="n"/>
      <c r="U81" s="6" t="inlineStr">
        <is>
          <t>06 Millwork &amp; Joinery</t>
        </is>
      </c>
      <c r="V81" s="6" t="n">
        <v>8</v>
      </c>
      <c r="W81" s="9" t="n">
        <v>46272.71881330984</v>
      </c>
      <c r="X81" s="6" t="inlineStr">
        <is>
          <t>system</t>
        </is>
      </c>
      <c r="Y81" s="6" t="inlineStr">
        <is>
          <t>e84fed35-c585-50ac-9290-85e417391dbb</t>
        </is>
      </c>
    </row>
    <row r="82">
      <c r="A82" s="2" t="inlineStr">
        <is>
          <t>06</t>
        </is>
      </c>
      <c r="B82" s="2" t="inlineStr">
        <is>
          <t>Millwork &amp; Joinery</t>
        </is>
      </c>
      <c r="C82" s="2" t="n">
        <v>81</v>
      </c>
      <c r="D82" s="3" t="inlineStr">
        <is>
          <t>Cabinet Hardware</t>
        </is>
      </c>
      <c r="E82" s="2" t="inlineStr">
        <is>
          <t>1</t>
        </is>
      </c>
      <c r="F82" s="2" t="n"/>
      <c r="G82" s="3" t="inlineStr">
        <is>
          <t>Drawer / rail runner</t>
        </is>
      </c>
      <c r="H82" s="3" t="inlineStr">
        <is>
          <t>Vanity &amp; millwork</t>
        </is>
      </c>
      <c r="I82" s="2" t="inlineStr">
        <is>
          <t>Hafele</t>
        </is>
      </c>
      <c r="J82" s="2" t="inlineStr">
        <is>
          <t>MATRIX runner BB A45</t>
        </is>
      </c>
      <c r="K82" s="2" t="n"/>
      <c r="L82" s="2" t="n"/>
      <c r="M82" s="2" t="inlineStr">
        <is>
          <t>set</t>
        </is>
      </c>
      <c r="N82" s="2" t="inlineStr">
        <is>
          <t>A9-03</t>
        </is>
      </c>
      <c r="O82" s="2" t="inlineStr">
        <is>
          <t>in_progress</t>
        </is>
      </c>
      <c r="P82" s="2" t="inlineStr">
        <is>
          <t>not_started</t>
        </is>
      </c>
      <c r="Q82" s="2" t="inlineStr">
        <is>
          <t>not_started</t>
        </is>
      </c>
      <c r="R82" s="2" t="n"/>
      <c r="S82" s="2" t="n"/>
      <c r="T82" s="3" t="inlineStr">
        <is>
          <t>Named on vanity detail</t>
        </is>
      </c>
      <c r="U82" s="2" t="inlineStr">
        <is>
          <t>06 Millwork &amp; Joinery</t>
        </is>
      </c>
      <c r="V82" s="2" t="n">
        <v>9</v>
      </c>
      <c r="W82" s="5" t="n">
        <v>46272.71881330984</v>
      </c>
      <c r="X82" s="2" t="inlineStr">
        <is>
          <t>system</t>
        </is>
      </c>
      <c r="Y82" s="2" t="inlineStr">
        <is>
          <t>573cdb00-ebe6-5396-bd77-ced7293428c5</t>
        </is>
      </c>
    </row>
    <row r="83">
      <c r="A83" s="6" t="inlineStr">
        <is>
          <t>06</t>
        </is>
      </c>
      <c r="B83" s="6" t="inlineStr">
        <is>
          <t>Millwork &amp; Joinery</t>
        </is>
      </c>
      <c r="C83" s="6" t="n">
        <v>82</v>
      </c>
      <c r="D83" s="7" t="inlineStr">
        <is>
          <t>Cabinet Hardware</t>
        </is>
      </c>
      <c r="E83" s="6" t="inlineStr">
        <is>
          <t>2</t>
        </is>
      </c>
      <c r="F83" s="6" t="n"/>
      <c r="G83" s="7" t="inlineStr">
        <is>
          <t>General cabinet hardware - hinges, slides, pulls, catches, soft-close</t>
        </is>
      </c>
      <c r="H83" s="7" t="inlineStr">
        <is>
          <t>All millwork</t>
        </is>
      </c>
      <c r="I83" s="6" t="n"/>
      <c r="J83" s="6" t="n"/>
      <c r="K83" s="6" t="n"/>
      <c r="L83" s="6" t="n"/>
      <c r="M83" s="6" t="inlineStr">
        <is>
          <t>lot</t>
        </is>
      </c>
      <c r="N83" s="6" t="inlineStr">
        <is>
          <t>A11-05..10</t>
        </is>
      </c>
      <c r="O83" s="6" t="inlineStr">
        <is>
          <t>not_started</t>
        </is>
      </c>
      <c r="P83" s="6" t="inlineStr">
        <is>
          <t>not_started</t>
        </is>
      </c>
      <c r="Q83" s="6" t="inlineStr">
        <is>
          <t>not_started</t>
        </is>
      </c>
      <c r="R83" s="6" t="n"/>
      <c r="S83" s="6" t="n"/>
      <c r="T83" s="7" t="n"/>
      <c r="U83" s="6" t="inlineStr">
        <is>
          <t>06 Millwork &amp; Joinery</t>
        </is>
      </c>
      <c r="V83" s="6" t="n">
        <v>10</v>
      </c>
      <c r="W83" s="9" t="n">
        <v>46272.71881330984</v>
      </c>
      <c r="X83" s="6" t="inlineStr">
        <is>
          <t>system</t>
        </is>
      </c>
      <c r="Y83" s="6" t="inlineStr">
        <is>
          <t>d52e0ba3-83ed-5684-b737-54d563ed327e</t>
        </is>
      </c>
    </row>
    <row r="84">
      <c r="A84" s="2" t="inlineStr">
        <is>
          <t>06</t>
        </is>
      </c>
      <c r="B84" s="2" t="inlineStr">
        <is>
          <t>Millwork &amp; Joinery</t>
        </is>
      </c>
      <c r="C84" s="2" t="n">
        <v>83</v>
      </c>
      <c r="D84" s="3" t="inlineStr">
        <is>
          <t>Closet Joinery</t>
        </is>
      </c>
      <c r="E84" s="2" t="inlineStr">
        <is>
          <t>1 | D-03</t>
        </is>
      </c>
      <c r="F84" s="2" t="n"/>
      <c r="G84" s="3" t="inlineStr">
        <is>
          <t>Walk-in closet joinery (louvered sliding doors, internal fit-out)</t>
        </is>
      </c>
      <c r="H84" s="3" t="inlineStr">
        <is>
          <t>Closet</t>
        </is>
      </c>
      <c r="I84" s="2" t="inlineStr">
        <is>
          <t>CBM Millwork</t>
        </is>
      </c>
      <c r="J84" s="2" t="n"/>
      <c r="K84" s="4" t="n">
        <v>1</v>
      </c>
      <c r="L84" s="2" t="n"/>
      <c r="M84" s="2" t="inlineStr">
        <is>
          <t>assy</t>
        </is>
      </c>
      <c r="N84" s="2" t="inlineStr">
        <is>
          <t>A11-05</t>
        </is>
      </c>
      <c r="O84" s="2" t="inlineStr">
        <is>
          <t>in_progress</t>
        </is>
      </c>
      <c r="P84" s="2" t="inlineStr">
        <is>
          <t>not_started</t>
        </is>
      </c>
      <c r="Q84" s="2" t="inlineStr">
        <is>
          <t>not_started</t>
        </is>
      </c>
      <c r="R84" s="2" t="n"/>
      <c r="S84" s="2" t="n"/>
      <c r="T84" s="3" t="inlineStr">
        <is>
          <t>Stone tops via Stonework; door D-03 in Doors tracker</t>
        </is>
      </c>
      <c r="U84" s="2" t="inlineStr">
        <is>
          <t>06 Millwork &amp; Joinery</t>
        </is>
      </c>
      <c r="V84" s="2" t="n">
        <v>11</v>
      </c>
      <c r="W84" s="5" t="n">
        <v>46272.71881330984</v>
      </c>
      <c r="X84" s="2" t="inlineStr">
        <is>
          <t>system</t>
        </is>
      </c>
      <c r="Y84" s="2" t="inlineStr">
        <is>
          <t>72ebdf44-b38b-537e-857b-3044c241c192</t>
        </is>
      </c>
    </row>
    <row r="85">
      <c r="A85" s="6" t="inlineStr">
        <is>
          <t>06</t>
        </is>
      </c>
      <c r="B85" s="6" t="inlineStr">
        <is>
          <t>Millwork &amp; Joinery</t>
        </is>
      </c>
      <c r="C85" s="6" t="n">
        <v>84</v>
      </c>
      <c r="D85" s="7" t="inlineStr">
        <is>
          <t>Headboard</t>
        </is>
      </c>
      <c r="E85" s="6" t="inlineStr">
        <is>
          <t>1</t>
        </is>
      </c>
      <c r="F85" s="6" t="n"/>
      <c r="G85" s="7" t="inlineStr">
        <is>
          <t>Headboard millwork</t>
        </is>
      </c>
      <c r="H85" s="7" t="inlineStr">
        <is>
          <t>Bedroom</t>
        </is>
      </c>
      <c r="I85" s="6" t="inlineStr">
        <is>
          <t>CBM Millwork</t>
        </is>
      </c>
      <c r="J85" s="6" t="n"/>
      <c r="K85" s="8" t="n">
        <v>1</v>
      </c>
      <c r="L85" s="6" t="n"/>
      <c r="M85" s="6" t="inlineStr">
        <is>
          <t>assy</t>
        </is>
      </c>
      <c r="N85" s="6" t="inlineStr">
        <is>
          <t>A11-07A/B</t>
        </is>
      </c>
      <c r="O85" s="6" t="inlineStr">
        <is>
          <t>in_progress</t>
        </is>
      </c>
      <c r="P85" s="6" t="inlineStr">
        <is>
          <t>not_started</t>
        </is>
      </c>
      <c r="Q85" s="6" t="inlineStr">
        <is>
          <t>not_started</t>
        </is>
      </c>
      <c r="R85" s="6" t="n"/>
      <c r="S85" s="6" t="n"/>
      <c r="T85" s="7" t="n"/>
      <c r="U85" s="6" t="inlineStr">
        <is>
          <t>06 Millwork &amp; Joinery</t>
        </is>
      </c>
      <c r="V85" s="6" t="n">
        <v>12</v>
      </c>
      <c r="W85" s="9" t="n">
        <v>46272.71881330984</v>
      </c>
      <c r="X85" s="6" t="inlineStr">
        <is>
          <t>system</t>
        </is>
      </c>
      <c r="Y85" s="6" t="inlineStr">
        <is>
          <t>f5cc21da-d0cd-538a-bd56-7a37eb5fcf57</t>
        </is>
      </c>
    </row>
    <row r="86">
      <c r="A86" s="2" t="inlineStr">
        <is>
          <t>06</t>
        </is>
      </c>
      <c r="B86" s="2" t="inlineStr">
        <is>
          <t>Millwork &amp; Joinery</t>
        </is>
      </c>
      <c r="C86" s="2" t="n">
        <v>85</v>
      </c>
      <c r="D86" s="3" t="inlineStr">
        <is>
          <t>Minibar</t>
        </is>
      </c>
      <c r="E86" s="2" t="inlineStr">
        <is>
          <t>1</t>
        </is>
      </c>
      <c r="F86" s="2" t="n"/>
      <c r="G86" s="3" t="inlineStr">
        <is>
          <t>Minibar cabinetry (counter, back splash, integrated services)</t>
        </is>
      </c>
      <c r="H86" s="3" t="inlineStr">
        <is>
          <t>Minibar</t>
        </is>
      </c>
      <c r="I86" s="2" t="inlineStr">
        <is>
          <t>CBM Millwork</t>
        </is>
      </c>
      <c r="J86" s="2" t="n"/>
      <c r="K86" s="4" t="n">
        <v>1</v>
      </c>
      <c r="L86" s="2" t="n"/>
      <c r="M86" s="2" t="inlineStr">
        <is>
          <t>assy</t>
        </is>
      </c>
      <c r="N86" s="2" t="inlineStr">
        <is>
          <t>A11-06A/B</t>
        </is>
      </c>
      <c r="O86" s="2" t="inlineStr">
        <is>
          <t>in_progress</t>
        </is>
      </c>
      <c r="P86" s="2" t="inlineStr">
        <is>
          <t>not_started</t>
        </is>
      </c>
      <c r="Q86" s="2" t="inlineStr">
        <is>
          <t>not_started</t>
        </is>
      </c>
      <c r="R86" s="2" t="n"/>
      <c r="S86" s="2" t="n"/>
      <c r="T86" s="3" t="inlineStr">
        <is>
          <t>Red Soraya top via Stonework; socket cut-out open item 17</t>
        </is>
      </c>
      <c r="U86" s="2" t="inlineStr">
        <is>
          <t>06 Millwork &amp; Joinery</t>
        </is>
      </c>
      <c r="V86" s="2" t="n">
        <v>13</v>
      </c>
      <c r="W86" s="5" t="n">
        <v>46272.71881330984</v>
      </c>
      <c r="X86" s="2" t="inlineStr">
        <is>
          <t>system</t>
        </is>
      </c>
      <c r="Y86" s="2" t="inlineStr">
        <is>
          <t>399c5c88-fc36-5e19-a9e3-d7d4c597303e</t>
        </is>
      </c>
    </row>
    <row r="87">
      <c r="A87" s="6" t="inlineStr">
        <is>
          <t>07</t>
        </is>
      </c>
      <c r="B87" s="6" t="inlineStr">
        <is>
          <t>Plumbing Systems</t>
        </is>
      </c>
      <c r="C87" s="6" t="n">
        <v>86</v>
      </c>
      <c r="D87" s="7" t="inlineStr">
        <is>
          <t>Plumbing Specialties</t>
        </is>
      </c>
      <c r="E87" s="6" t="n"/>
      <c r="F87" s="6" t="n"/>
      <c r="G87" s="7" t="inlineStr">
        <is>
          <t>Hose bib</t>
        </is>
      </c>
      <c r="H87" s="7" t="n"/>
      <c r="I87" s="6" t="inlineStr">
        <is>
          <t>PROFLO</t>
        </is>
      </c>
      <c r="J87" s="6" t="inlineStr">
        <is>
          <t>PFXBVHBD</t>
        </is>
      </c>
      <c r="K87" s="8" t="n">
        <v>2</v>
      </c>
      <c r="L87" s="6" t="n"/>
      <c r="M87" s="6" t="n"/>
      <c r="N87" s="6" t="n"/>
      <c r="O87" s="6" t="inlineStr">
        <is>
          <t>unknown</t>
        </is>
      </c>
      <c r="P87" s="6" t="inlineStr">
        <is>
          <t>not_started</t>
        </is>
      </c>
      <c r="Q87" s="6" t="inlineStr">
        <is>
          <t>not_started</t>
        </is>
      </c>
      <c r="R87" s="10" t="inlineStr">
        <is>
          <t>https://fergusonprod.a.bigcontent.io/v1/static/4631136_17452207_specification</t>
        </is>
      </c>
      <c r="S87" s="6" t="n"/>
      <c r="T87" s="7" t="n"/>
      <c r="U87" s="6" t="inlineStr">
        <is>
          <t>07 Plumbing Systems</t>
        </is>
      </c>
      <c r="V87" s="6" t="n">
        <v>5</v>
      </c>
      <c r="W87" s="9" t="n">
        <v>46272.71881330984</v>
      </c>
      <c r="X87" s="6" t="inlineStr">
        <is>
          <t>system</t>
        </is>
      </c>
      <c r="Y87" s="6" t="inlineStr">
        <is>
          <t>a444ecce-99ca-5b0a-8a74-45d79b0c66ea</t>
        </is>
      </c>
    </row>
    <row r="88">
      <c r="A88" s="2" t="inlineStr">
        <is>
          <t>08</t>
        </is>
      </c>
      <c r="B88" s="2" t="inlineStr">
        <is>
          <t>Plumbing Equipment</t>
        </is>
      </c>
      <c r="C88" s="2" t="n">
        <v>87</v>
      </c>
      <c r="D88" s="3" t="inlineStr">
        <is>
          <t>Domestic Water Piping &amp; Valves</t>
        </is>
      </c>
      <c r="E88" s="2" t="n"/>
      <c r="F88" s="2" t="n"/>
      <c r="G88" s="3" t="inlineStr">
        <is>
          <t>Ball Valves</t>
        </is>
      </c>
      <c r="H88" s="3" t="n"/>
      <c r="I88" s="2" t="inlineStr">
        <is>
          <t>Aquaram</t>
        </is>
      </c>
      <c r="J88" s="2" t="n"/>
      <c r="K88" s="2" t="n"/>
      <c r="L88" s="2" t="n"/>
      <c r="M88" s="2" t="n"/>
      <c r="N88" s="2" t="n"/>
      <c r="O88" s="2" t="inlineStr">
        <is>
          <t>unknown</t>
        </is>
      </c>
      <c r="P88" s="2" t="inlineStr">
        <is>
          <t>not_started</t>
        </is>
      </c>
      <c r="Q88" s="2" t="inlineStr">
        <is>
          <t>not_started</t>
        </is>
      </c>
      <c r="R88" s="2" t="n"/>
      <c r="S88" s="2" t="n"/>
      <c r="T88" s="3" t="n"/>
      <c r="U88" s="2" t="inlineStr">
        <is>
          <t>08 Plumbing Equipment</t>
        </is>
      </c>
      <c r="V88" s="2" t="n">
        <v>5</v>
      </c>
      <c r="W88" s="5" t="n">
        <v>46272.71881330984</v>
      </c>
      <c r="X88" s="2" t="inlineStr">
        <is>
          <t>system</t>
        </is>
      </c>
      <c r="Y88" s="2" t="inlineStr">
        <is>
          <t>e672ce6c-6a52-5a2b-8a61-4a6bf7c6c831</t>
        </is>
      </c>
    </row>
    <row r="89">
      <c r="A89" s="6" t="inlineStr">
        <is>
          <t>08</t>
        </is>
      </c>
      <c r="B89" s="6" t="inlineStr">
        <is>
          <t>Plumbing Equipment</t>
        </is>
      </c>
      <c r="C89" s="6" t="n">
        <v>88</v>
      </c>
      <c r="D89" s="7" t="inlineStr">
        <is>
          <t>Domestic Water Piping &amp; Valves</t>
        </is>
      </c>
      <c r="E89" s="6" t="inlineStr">
        <is>
          <t>PVC elbows</t>
        </is>
      </c>
      <c r="F89" s="6" t="n"/>
      <c r="G89" s="7" t="inlineStr">
        <is>
          <t>Insulation</t>
        </is>
      </c>
      <c r="H89" s="7" t="n"/>
      <c r="I89" s="6" t="n"/>
      <c r="J89" s="6" t="inlineStr">
        <is>
          <t>Micro-Lok</t>
        </is>
      </c>
      <c r="K89" s="6" t="n"/>
      <c r="L89" s="6" t="n"/>
      <c r="M89" s="6" t="n"/>
      <c r="N89" s="6" t="n"/>
      <c r="O89" s="6" t="inlineStr">
        <is>
          <t>unknown</t>
        </is>
      </c>
      <c r="P89" s="6" t="inlineStr">
        <is>
          <t>not_started</t>
        </is>
      </c>
      <c r="Q89" s="6" t="inlineStr">
        <is>
          <t>not_started</t>
        </is>
      </c>
      <c r="R89" s="6" t="n"/>
      <c r="S89" s="6" t="n"/>
      <c r="T89" s="7" t="n"/>
      <c r="U89" s="6" t="inlineStr">
        <is>
          <t>08 Plumbing Equipment</t>
        </is>
      </c>
      <c r="V89" s="6" t="n">
        <v>6</v>
      </c>
      <c r="W89" s="9" t="n">
        <v>46272.71881330984</v>
      </c>
      <c r="X89" s="6" t="inlineStr">
        <is>
          <t>system</t>
        </is>
      </c>
      <c r="Y89" s="6" t="inlineStr">
        <is>
          <t>43a1a24d-93c7-54a7-90e1-b6bb9996ba54</t>
        </is>
      </c>
    </row>
    <row r="90">
      <c r="A90" s="2" t="inlineStr">
        <is>
          <t>08</t>
        </is>
      </c>
      <c r="B90" s="2" t="inlineStr">
        <is>
          <t>Plumbing Equipment</t>
        </is>
      </c>
      <c r="C90" s="2" t="n">
        <v>89</v>
      </c>
      <c r="D90" s="3" t="inlineStr">
        <is>
          <t>Domestic Water Piping &amp; Valves</t>
        </is>
      </c>
      <c r="E90" s="2" t="inlineStr">
        <is>
          <t>PVC elbows</t>
        </is>
      </c>
      <c r="F90" s="2" t="n"/>
      <c r="G90" s="3" t="inlineStr">
        <is>
          <t>Cold water service</t>
        </is>
      </c>
      <c r="H90" s="3" t="n"/>
      <c r="I90" s="2" t="n"/>
      <c r="J90" s="2" t="inlineStr">
        <is>
          <t>PVC SCH 40</t>
        </is>
      </c>
      <c r="K90" s="2" t="n"/>
      <c r="L90" s="2" t="n"/>
      <c r="M90" s="2" t="n"/>
      <c r="N90" s="2" t="n"/>
      <c r="O90" s="2" t="inlineStr">
        <is>
          <t>unknown</t>
        </is>
      </c>
      <c r="P90" s="2" t="inlineStr">
        <is>
          <t>not_started</t>
        </is>
      </c>
      <c r="Q90" s="2" t="inlineStr">
        <is>
          <t>not_started</t>
        </is>
      </c>
      <c r="R90" s="2" t="n"/>
      <c r="S90" s="2" t="n"/>
      <c r="T90" s="3" t="n"/>
      <c r="U90" s="2" t="inlineStr">
        <is>
          <t>08 Plumbing Equipment</t>
        </is>
      </c>
      <c r="V90" s="2" t="n">
        <v>7</v>
      </c>
      <c r="W90" s="5" t="n">
        <v>46272.71881330984</v>
      </c>
      <c r="X90" s="2" t="inlineStr">
        <is>
          <t>system</t>
        </is>
      </c>
      <c r="Y90" s="2" t="inlineStr">
        <is>
          <t>4243253c-4189-5400-8f87-7f2b264e31bd</t>
        </is>
      </c>
    </row>
    <row r="91">
      <c r="A91" s="6" t="inlineStr">
        <is>
          <t>08</t>
        </is>
      </c>
      <c r="B91" s="6" t="inlineStr">
        <is>
          <t>Plumbing Equipment</t>
        </is>
      </c>
      <c r="C91" s="6" t="n">
        <v>90</v>
      </c>
      <c r="D91" s="7" t="inlineStr">
        <is>
          <t>Domestic Water Piping &amp; Valves</t>
        </is>
      </c>
      <c r="E91" s="6" t="inlineStr">
        <is>
          <t>PVC elbows</t>
        </is>
      </c>
      <c r="F91" s="6" t="n"/>
      <c r="G91" s="7" t="inlineStr">
        <is>
          <t>Cold water distribution</t>
        </is>
      </c>
      <c r="H91" s="7" t="n"/>
      <c r="I91" s="6" t="n"/>
      <c r="J91" s="6" t="inlineStr">
        <is>
          <t>CPVC</t>
        </is>
      </c>
      <c r="K91" s="6" t="n"/>
      <c r="L91" s="6" t="n"/>
      <c r="M91" s="6" t="n"/>
      <c r="N91" s="6" t="n"/>
      <c r="O91" s="6" t="inlineStr">
        <is>
          <t>unknown</t>
        </is>
      </c>
      <c r="P91" s="6" t="inlineStr">
        <is>
          <t>not_started</t>
        </is>
      </c>
      <c r="Q91" s="6" t="inlineStr">
        <is>
          <t>not_started</t>
        </is>
      </c>
      <c r="R91" s="6" t="n"/>
      <c r="S91" s="6" t="n"/>
      <c r="T91" s="7" t="n"/>
      <c r="U91" s="6" t="inlineStr">
        <is>
          <t>08 Plumbing Equipment</t>
        </is>
      </c>
      <c r="V91" s="6" t="n">
        <v>8</v>
      </c>
      <c r="W91" s="9" t="n">
        <v>46272.71881330984</v>
      </c>
      <c r="X91" s="6" t="inlineStr">
        <is>
          <t>system</t>
        </is>
      </c>
      <c r="Y91" s="6" t="inlineStr">
        <is>
          <t>56f3a678-4cbc-51b2-a9a4-ed1cfcab9324</t>
        </is>
      </c>
    </row>
    <row r="92">
      <c r="A92" s="2" t="inlineStr">
        <is>
          <t>08</t>
        </is>
      </c>
      <c r="B92" s="2" t="inlineStr">
        <is>
          <t>Plumbing Equipment</t>
        </is>
      </c>
      <c r="C92" s="2" t="n">
        <v>91</v>
      </c>
      <c r="D92" s="3" t="inlineStr">
        <is>
          <t>Domestic Water Piping &amp; Valves</t>
        </is>
      </c>
      <c r="E92" s="2" t="inlineStr">
        <is>
          <t>PVC elbows</t>
        </is>
      </c>
      <c r="F92" s="2" t="n"/>
      <c r="G92" s="3" t="inlineStr">
        <is>
          <t>Hot water</t>
        </is>
      </c>
      <c r="H92" s="3" t="n"/>
      <c r="I92" s="2" t="n"/>
      <c r="J92" s="2" t="inlineStr">
        <is>
          <t>CPVC</t>
        </is>
      </c>
      <c r="K92" s="2" t="n"/>
      <c r="L92" s="2" t="n"/>
      <c r="M92" s="2" t="n"/>
      <c r="N92" s="2" t="n"/>
      <c r="O92" s="2" t="inlineStr">
        <is>
          <t>unknown</t>
        </is>
      </c>
      <c r="P92" s="2" t="inlineStr">
        <is>
          <t>not_started</t>
        </is>
      </c>
      <c r="Q92" s="2" t="inlineStr">
        <is>
          <t>not_started</t>
        </is>
      </c>
      <c r="R92" s="2" t="n"/>
      <c r="S92" s="2" t="n"/>
      <c r="T92" s="3" t="n"/>
      <c r="U92" s="2" t="inlineStr">
        <is>
          <t>08 Plumbing Equipment</t>
        </is>
      </c>
      <c r="V92" s="2" t="n">
        <v>9</v>
      </c>
      <c r="W92" s="5" t="n">
        <v>46272.71881330984</v>
      </c>
      <c r="X92" s="2" t="inlineStr">
        <is>
          <t>system</t>
        </is>
      </c>
      <c r="Y92" s="2" t="inlineStr">
        <is>
          <t>1a426040-a71a-53d1-9d09-47f89809f7b7</t>
        </is>
      </c>
    </row>
    <row r="93">
      <c r="A93" s="6" t="inlineStr">
        <is>
          <t>09</t>
        </is>
      </c>
      <c r="B93" s="6" t="inlineStr">
        <is>
          <t>Pool &amp; Water Features</t>
        </is>
      </c>
      <c r="C93" s="6" t="n">
        <v>92</v>
      </c>
      <c r="D93" s="7" t="inlineStr">
        <is>
          <t>Balancing Tank &amp; Specialties</t>
        </is>
      </c>
      <c r="E93" s="6" t="inlineStr">
        <is>
          <t>1 | F1</t>
        </is>
      </c>
      <c r="F93" s="6" t="n"/>
      <c r="G93" s="7" t="inlineStr">
        <is>
          <t>Make-up float valve, 3/4 in NPT, brass</t>
        </is>
      </c>
      <c r="H93" s="7" t="inlineStr">
        <is>
          <t>Balancing tank</t>
        </is>
      </c>
      <c r="I93" s="6" t="inlineStr">
        <is>
          <t>Robert Mfg</t>
        </is>
      </c>
      <c r="J93" s="6" t="inlineStr">
        <is>
          <t>BOB R400 3/4-5P-LF</t>
        </is>
      </c>
      <c r="K93" s="8" t="n">
        <v>1</v>
      </c>
      <c r="L93" s="6" t="n"/>
      <c r="M93" s="6" t="inlineStr">
        <is>
          <t>no</t>
        </is>
      </c>
      <c r="N93" s="6" t="n"/>
      <c r="O93" s="6" t="inlineStr">
        <is>
          <t>complete</t>
        </is>
      </c>
      <c r="P93" s="6" t="inlineStr">
        <is>
          <t>not_started</t>
        </is>
      </c>
      <c r="Q93" s="6" t="inlineStr">
        <is>
          <t>not_started</t>
        </is>
      </c>
      <c r="R93" s="10" t="inlineStr">
        <is>
          <t>https://www.cdivalve.com/images/uploads/Control_Devices_Float_Valve_Catalog.pdf</t>
        </is>
      </c>
      <c r="S93" s="6" t="n"/>
      <c r="T93" s="7" t="inlineStr">
        <is>
          <t>confirm vs Hayward request. RFI</t>
        </is>
      </c>
      <c r="U93" s="6" t="inlineStr">
        <is>
          <t>09 Pool &amp; Water Features</t>
        </is>
      </c>
      <c r="V93" s="6" t="n">
        <v>5</v>
      </c>
      <c r="W93" s="9" t="n">
        <v>46272.71881330984</v>
      </c>
      <c r="X93" s="6" t="inlineStr">
        <is>
          <t>system</t>
        </is>
      </c>
      <c r="Y93" s="6" t="inlineStr">
        <is>
          <t>66f98331-9e1c-555b-a33c-8529aa6cb8c0</t>
        </is>
      </c>
    </row>
    <row r="94">
      <c r="A94" s="2" t="inlineStr">
        <is>
          <t>09</t>
        </is>
      </c>
      <c r="B94" s="2" t="inlineStr">
        <is>
          <t>Pool &amp; Water Features</t>
        </is>
      </c>
      <c r="C94" s="2" t="n">
        <v>93</v>
      </c>
      <c r="D94" s="3" t="inlineStr">
        <is>
          <t>Balancing Tank &amp; Specialties</t>
        </is>
      </c>
      <c r="E94" s="2" t="inlineStr">
        <is>
          <t>2 | F2</t>
        </is>
      </c>
      <c r="F94" s="2" t="n"/>
      <c r="G94" s="3" t="inlineStr">
        <is>
          <t>Foot valve, 2 in, PVC w/ strainer</t>
        </is>
      </c>
      <c r="H94" s="3" t="inlineStr">
        <is>
          <t>Balancing tank</t>
        </is>
      </c>
      <c r="I94" s="2" t="inlineStr">
        <is>
          <t>Spears</t>
        </is>
      </c>
      <c r="J94" s="2" t="inlineStr">
        <is>
          <t>PVC</t>
        </is>
      </c>
      <c r="K94" s="4" t="n">
        <v>1</v>
      </c>
      <c r="L94" s="2" t="n"/>
      <c r="M94" s="2" t="inlineStr">
        <is>
          <t>no</t>
        </is>
      </c>
      <c r="N94" s="2" t="inlineStr">
        <is>
          <t>F2</t>
        </is>
      </c>
      <c r="O94" s="2" t="inlineStr">
        <is>
          <t>complete</t>
        </is>
      </c>
      <c r="P94" s="2" t="inlineStr">
        <is>
          <t>not_started</t>
        </is>
      </c>
      <c r="Q94" s="2" t="inlineStr">
        <is>
          <t>not_started</t>
        </is>
      </c>
      <c r="R94" s="10" t="inlineStr">
        <is>
          <t>https://parts.spearsmfg.com/sourcebook/SCH40TECH_40-1_T.pdf</t>
        </is>
      </c>
      <c r="S94" s="2" t="n"/>
      <c r="T94" s="3" t="n"/>
      <c r="U94" s="2" t="inlineStr">
        <is>
          <t>09 Pool &amp; Water Features</t>
        </is>
      </c>
      <c r="V94" s="2" t="n">
        <v>6</v>
      </c>
      <c r="W94" s="5" t="n">
        <v>46272.71881330984</v>
      </c>
      <c r="X94" s="2" t="inlineStr">
        <is>
          <t>system</t>
        </is>
      </c>
      <c r="Y94" s="2" t="inlineStr">
        <is>
          <t>cd2a21ef-36e9-5da7-aa32-65c263deb589</t>
        </is>
      </c>
    </row>
    <row r="95">
      <c r="A95" s="6" t="inlineStr">
        <is>
          <t>09</t>
        </is>
      </c>
      <c r="B95" s="6" t="inlineStr">
        <is>
          <t>Pool &amp; Water Features</t>
        </is>
      </c>
      <c r="C95" s="6" t="n">
        <v>94</v>
      </c>
      <c r="D95" s="7" t="inlineStr">
        <is>
          <t>Balancing Tank &amp; Specialties</t>
        </is>
      </c>
      <c r="E95" s="6" t="inlineStr">
        <is>
          <t>3 | F3</t>
        </is>
      </c>
      <c r="F95" s="6" t="n"/>
      <c r="G95" s="7" t="inlineStr">
        <is>
          <t>Waterstop couplings (tank penetrations), fiberglass</t>
        </is>
      </c>
      <c r="H95" s="7" t="inlineStr">
        <is>
          <t>Balancing tank</t>
        </is>
      </c>
      <c r="I95" s="6" t="inlineStr">
        <is>
          <t>ASA</t>
        </is>
      </c>
      <c r="J95" s="6" t="inlineStr">
        <is>
          <t>FPK-88-301.5/302/303/304</t>
        </is>
      </c>
      <c r="K95" s="8" t="n">
        <v>5</v>
      </c>
      <c r="L95" s="6" t="n"/>
      <c r="M95" s="6" t="inlineStr">
        <is>
          <t>no</t>
        </is>
      </c>
      <c r="N95" s="6" t="inlineStr">
        <is>
          <t>F3</t>
        </is>
      </c>
      <c r="O95" s="6" t="inlineStr">
        <is>
          <t>complete</t>
        </is>
      </c>
      <c r="P95" s="6" t="inlineStr">
        <is>
          <t>not_started</t>
        </is>
      </c>
      <c r="Q95" s="6" t="inlineStr">
        <is>
          <t>not_started</t>
        </is>
      </c>
      <c r="R95" s="6" t="n"/>
      <c r="S95" s="6" t="n"/>
      <c r="T95" s="7" t="inlineStr">
        <is>
          <t>CLARIF vs shell PVC sleeve. RFI</t>
        </is>
      </c>
      <c r="U95" s="6" t="inlineStr">
        <is>
          <t>09 Pool &amp; Water Features</t>
        </is>
      </c>
      <c r="V95" s="6" t="n">
        <v>7</v>
      </c>
      <c r="W95" s="9" t="n">
        <v>46272.71881330984</v>
      </c>
      <c r="X95" s="6" t="inlineStr">
        <is>
          <t>system</t>
        </is>
      </c>
      <c r="Y95" s="6" t="inlineStr">
        <is>
          <t>c8ab7654-6081-5da3-bdbb-0b20f6870ad2</t>
        </is>
      </c>
    </row>
    <row r="96">
      <c r="A96" s="2" t="inlineStr">
        <is>
          <t>09</t>
        </is>
      </c>
      <c r="B96" s="2" t="inlineStr">
        <is>
          <t>Pool &amp; Water Features</t>
        </is>
      </c>
      <c r="C96" s="2" t="n">
        <v>95</v>
      </c>
      <c r="D96" s="3" t="inlineStr">
        <is>
          <t>Balancing Tank &amp; Specialties</t>
        </is>
      </c>
      <c r="E96" s="2" t="inlineStr">
        <is>
          <t>4 | F4</t>
        </is>
      </c>
      <c r="F96" s="2" t="n"/>
      <c r="G96" s="3" t="inlineStr">
        <is>
          <t>Vent pipe, 1-1/2 in Sch 40 PVC</t>
        </is>
      </c>
      <c r="H96" s="3" t="inlineStr">
        <is>
          <t>Balancing tank</t>
        </is>
      </c>
      <c r="I96" s="2" t="inlineStr">
        <is>
          <t>Spears</t>
        </is>
      </c>
      <c r="J96" s="2" t="inlineStr">
        <is>
          <t>Sch 40 PVC</t>
        </is>
      </c>
      <c r="K96" s="2" t="n"/>
      <c r="L96" s="2" t="n"/>
      <c r="M96" s="2" t="inlineStr">
        <is>
          <t>run</t>
        </is>
      </c>
      <c r="N96" s="2" t="inlineStr">
        <is>
          <t>F4</t>
        </is>
      </c>
      <c r="O96" s="2" t="inlineStr">
        <is>
          <t>complete</t>
        </is>
      </c>
      <c r="P96" s="2" t="inlineStr">
        <is>
          <t>not_started</t>
        </is>
      </c>
      <c r="Q96" s="2" t="inlineStr">
        <is>
          <t>not_started</t>
        </is>
      </c>
      <c r="R96" s="10" t="inlineStr">
        <is>
          <t>https://parts.spearsmfg.com/sourcebook/SCH40TECH_40WHTPIPE-1_T_PVC40_T.pdf</t>
        </is>
      </c>
      <c r="S96" s="2" t="n"/>
      <c r="T96" s="3" t="n"/>
      <c r="U96" s="2" t="inlineStr">
        <is>
          <t>09 Pool &amp; Water Features</t>
        </is>
      </c>
      <c r="V96" s="2" t="n">
        <v>8</v>
      </c>
      <c r="W96" s="5" t="n">
        <v>46272.71881330984</v>
      </c>
      <c r="X96" s="2" t="inlineStr">
        <is>
          <t>system</t>
        </is>
      </c>
      <c r="Y96" s="2" t="inlineStr">
        <is>
          <t>6c002a03-65ef-5702-8d0a-06875eaea80a</t>
        </is>
      </c>
    </row>
    <row r="97">
      <c r="A97" s="6" t="inlineStr">
        <is>
          <t>09</t>
        </is>
      </c>
      <c r="B97" s="6" t="inlineStr">
        <is>
          <t>Pool &amp; Water Features</t>
        </is>
      </c>
      <c r="C97" s="6" t="n">
        <v>96</v>
      </c>
      <c r="D97" s="7" t="inlineStr">
        <is>
          <t>Balancing Tank &amp; Specialties</t>
        </is>
      </c>
      <c r="E97" s="6" t="inlineStr">
        <is>
          <t>5 | F5</t>
        </is>
      </c>
      <c r="F97" s="6" t="n"/>
      <c r="G97" s="7" t="inlineStr">
        <is>
          <t>Overflow pipe, 4 in Sch 40 PVC (to soakaway)</t>
        </is>
      </c>
      <c r="H97" s="7" t="inlineStr">
        <is>
          <t>Balancing tank</t>
        </is>
      </c>
      <c r="I97" s="6" t="inlineStr">
        <is>
          <t>Spears</t>
        </is>
      </c>
      <c r="J97" s="6" t="inlineStr">
        <is>
          <t>Sch 40 PVC</t>
        </is>
      </c>
      <c r="K97" s="8" t="n">
        <v>2</v>
      </c>
      <c r="L97" s="6" t="n"/>
      <c r="M97" s="6" t="inlineStr">
        <is>
          <t>run</t>
        </is>
      </c>
      <c r="N97" s="6" t="inlineStr">
        <is>
          <t>F4</t>
        </is>
      </c>
      <c r="O97" s="6" t="inlineStr">
        <is>
          <t>complete</t>
        </is>
      </c>
      <c r="P97" s="6" t="inlineStr">
        <is>
          <t>not_started</t>
        </is>
      </c>
      <c r="Q97" s="6" t="inlineStr">
        <is>
          <t>not_started</t>
        </is>
      </c>
      <c r="R97" s="10" t="inlineStr">
        <is>
          <t>https://parts.spearsmfg.com/sourcebook/SCH40TECH_40WHTPIPE-1_T_PVC40_T.pdf</t>
        </is>
      </c>
      <c r="S97" s="6" t="n"/>
      <c r="T97" s="7" t="inlineStr">
        <is>
          <t>discharge verify on site. RFI</t>
        </is>
      </c>
      <c r="U97" s="6" t="inlineStr">
        <is>
          <t>09 Pool &amp; Water Features</t>
        </is>
      </c>
      <c r="V97" s="6" t="n">
        <v>9</v>
      </c>
      <c r="W97" s="9" t="n">
        <v>46272.71881330984</v>
      </c>
      <c r="X97" s="6" t="inlineStr">
        <is>
          <t>system</t>
        </is>
      </c>
      <c r="Y97" s="6" t="inlineStr">
        <is>
          <t>d076a8db-6e5f-518d-933c-aa11059e51d8</t>
        </is>
      </c>
    </row>
    <row r="98">
      <c r="A98" s="2" t="inlineStr">
        <is>
          <t>09</t>
        </is>
      </c>
      <c r="B98" s="2" t="inlineStr">
        <is>
          <t>Pool &amp; Water Features</t>
        </is>
      </c>
      <c r="C98" s="2" t="n">
        <v>97</v>
      </c>
      <c r="D98" s="3" t="inlineStr">
        <is>
          <t>Balancing Tank &amp; Specialties</t>
        </is>
      </c>
      <c r="E98" s="2" t="inlineStr">
        <is>
          <t>6 | F6</t>
        </is>
      </c>
      <c r="F98" s="2" t="n"/>
      <c r="G98" s="3" t="inlineStr">
        <is>
          <t>Suction pipe to pump room, 2 in Sch 40 PVC</t>
        </is>
      </c>
      <c r="H98" s="3" t="inlineStr">
        <is>
          <t>Balancing tank</t>
        </is>
      </c>
      <c r="I98" s="2" t="inlineStr">
        <is>
          <t>Spears</t>
        </is>
      </c>
      <c r="J98" s="2" t="inlineStr">
        <is>
          <t>Sch 40 PVC</t>
        </is>
      </c>
      <c r="K98" s="2" t="n"/>
      <c r="L98" s="2" t="n"/>
      <c r="M98" s="2" t="inlineStr">
        <is>
          <t>run</t>
        </is>
      </c>
      <c r="N98" s="2" t="inlineStr">
        <is>
          <t>F4</t>
        </is>
      </c>
      <c r="O98" s="2" t="inlineStr">
        <is>
          <t>complete</t>
        </is>
      </c>
      <c r="P98" s="2" t="inlineStr">
        <is>
          <t>not_started</t>
        </is>
      </c>
      <c r="Q98" s="2" t="inlineStr">
        <is>
          <t>not_started</t>
        </is>
      </c>
      <c r="R98" s="10" t="inlineStr">
        <is>
          <t>https://parts.spearsmfg.com/sourcebook/SCH40TECH_40WHTPIPE-1_T_PVC40_T.pdf</t>
        </is>
      </c>
      <c r="S98" s="2" t="n"/>
      <c r="T98" s="3" t="inlineStr">
        <is>
          <t>~80 ft</t>
        </is>
      </c>
      <c r="U98" s="2" t="inlineStr">
        <is>
          <t>09 Pool &amp; Water Features</t>
        </is>
      </c>
      <c r="V98" s="2" t="n">
        <v>10</v>
      </c>
      <c r="W98" s="5" t="n">
        <v>46272.71881330984</v>
      </c>
      <c r="X98" s="2" t="inlineStr">
        <is>
          <t>system</t>
        </is>
      </c>
      <c r="Y98" s="2" t="inlineStr">
        <is>
          <t>72326242-4009-52b7-9418-622b732c6f7c</t>
        </is>
      </c>
    </row>
    <row r="99">
      <c r="A99" s="6" t="inlineStr">
        <is>
          <t>09</t>
        </is>
      </c>
      <c r="B99" s="6" t="inlineStr">
        <is>
          <t>Pool &amp; Water Features</t>
        </is>
      </c>
      <c r="C99" s="6" t="n">
        <v>98</v>
      </c>
      <c r="D99" s="7" t="inlineStr">
        <is>
          <t>Balancing Tank &amp; Specialties</t>
        </is>
      </c>
      <c r="E99" s="6" t="inlineStr">
        <is>
          <t>7 | F7</t>
        </is>
      </c>
      <c r="F99" s="6" t="n"/>
      <c r="G99" s="7" t="inlineStr">
        <is>
          <t>Trough drain pipe, 2-1/2" in Sch 40 PVC</t>
        </is>
      </c>
      <c r="H99" s="7" t="inlineStr">
        <is>
          <t>Balancing tank</t>
        </is>
      </c>
      <c r="I99" s="6" t="inlineStr">
        <is>
          <t>Spears</t>
        </is>
      </c>
      <c r="J99" s="6" t="inlineStr">
        <is>
          <t>Sch 40 PVC</t>
        </is>
      </c>
      <c r="K99" s="6" t="n"/>
      <c r="L99" s="6" t="n"/>
      <c r="M99" s="6" t="inlineStr">
        <is>
          <t>run</t>
        </is>
      </c>
      <c r="N99" s="6" t="inlineStr">
        <is>
          <t>F4</t>
        </is>
      </c>
      <c r="O99" s="6" t="inlineStr">
        <is>
          <t>complete</t>
        </is>
      </c>
      <c r="P99" s="6" t="inlineStr">
        <is>
          <t>not_started</t>
        </is>
      </c>
      <c r="Q99" s="6" t="inlineStr">
        <is>
          <t>not_started</t>
        </is>
      </c>
      <c r="R99" s="10" t="inlineStr">
        <is>
          <t>https://parts.spearsmfg.com/sourcebook/SCH40TECH_40WHTPIPE-1_T_PVC40_T.pdf</t>
        </is>
      </c>
      <c r="S99" s="6" t="n"/>
      <c r="T99" s="7" t="n"/>
      <c r="U99" s="6" t="inlineStr">
        <is>
          <t>09 Pool &amp; Water Features</t>
        </is>
      </c>
      <c r="V99" s="6" t="n">
        <v>11</v>
      </c>
      <c r="W99" s="9" t="n">
        <v>46272.71881330984</v>
      </c>
      <c r="X99" s="6" t="inlineStr">
        <is>
          <t>system</t>
        </is>
      </c>
      <c r="Y99" s="6" t="inlineStr">
        <is>
          <t>bcff0df5-29ad-57bc-b21c-b4418051864d</t>
        </is>
      </c>
    </row>
    <row r="100">
      <c r="A100" s="2" t="inlineStr">
        <is>
          <t>09</t>
        </is>
      </c>
      <c r="B100" s="2" t="inlineStr">
        <is>
          <t>Pool &amp; Water Features</t>
        </is>
      </c>
      <c r="C100" s="2" t="n">
        <v>99</v>
      </c>
      <c r="D100" s="3" t="inlineStr">
        <is>
          <t>Filtration</t>
        </is>
      </c>
      <c r="E100" s="2" t="inlineStr">
        <is>
          <t>1 | A1</t>
        </is>
      </c>
      <c r="F100" s="2" t="n"/>
      <c r="G100" s="3" t="inlineStr">
        <is>
          <t>Cartridge filter, 150 sq ft, 15-5/8 in dia</t>
        </is>
      </c>
      <c r="H100" s="3" t="inlineStr">
        <is>
          <t>Pump room</t>
        </is>
      </c>
      <c r="I100" s="2" t="inlineStr">
        <is>
          <t>Pentair</t>
        </is>
      </c>
      <c r="J100" s="2" t="inlineStr">
        <is>
          <t>Clean &amp; Clear Plus CC150 (160317)</t>
        </is>
      </c>
      <c r="K100" s="4" t="n">
        <v>1</v>
      </c>
      <c r="L100" s="2" t="n"/>
      <c r="M100" s="2" t="inlineStr">
        <is>
          <t>no</t>
        </is>
      </c>
      <c r="N100" s="2" t="n"/>
      <c r="O100" s="2" t="inlineStr">
        <is>
          <t>complete</t>
        </is>
      </c>
      <c r="P100" s="2" t="inlineStr">
        <is>
          <t>not_started</t>
        </is>
      </c>
      <c r="Q100" s="2" t="inlineStr">
        <is>
          <t>not_started</t>
        </is>
      </c>
      <c r="R100" s="10" t="inlineStr">
        <is>
          <t>https://www.pentair.com/content/dam/extranet/nam/pentair-pool/residential/filters/filter-web-pages/support-pages/pentair-clean-and-clear-cartridge-filter-brochure-2025.pdf</t>
        </is>
      </c>
      <c r="S100" s="2" t="n"/>
      <c r="T100" s="3" t="inlineStr">
        <is>
          <t>SP-01 item 1. Status OK</t>
        </is>
      </c>
      <c r="U100" s="2" t="inlineStr">
        <is>
          <t>09 Pool &amp; Water Features</t>
        </is>
      </c>
      <c r="V100" s="2" t="n">
        <v>12</v>
      </c>
      <c r="W100" s="5" t="n">
        <v>46272.71881330984</v>
      </c>
      <c r="X100" s="2" t="inlineStr">
        <is>
          <t>system</t>
        </is>
      </c>
      <c r="Y100" s="2" t="inlineStr">
        <is>
          <t>ea97e588-be3d-5a7e-bc1f-a4539ee72cd2</t>
        </is>
      </c>
    </row>
    <row r="101">
      <c r="A101" s="6" t="inlineStr">
        <is>
          <t>09</t>
        </is>
      </c>
      <c r="B101" s="6" t="inlineStr">
        <is>
          <t>Pool &amp; Water Features</t>
        </is>
      </c>
      <c r="C101" s="6" t="n">
        <v>100</v>
      </c>
      <c r="D101" s="7" t="inlineStr">
        <is>
          <t>Pool Bonding &amp; Electrical</t>
        </is>
      </c>
      <c r="E101" s="6" t="inlineStr">
        <is>
          <t>1 | H1</t>
        </is>
      </c>
      <c r="F101" s="6" t="n"/>
      <c r="G101" s="7" t="inlineStr">
        <is>
          <t>Equipotential bonding conductor, #8 AWG solid bare copper</t>
        </is>
      </c>
      <c r="H101" s="7" t="inlineStr">
        <is>
          <t>Pool perimeter</t>
        </is>
      </c>
      <c r="I101" s="6" t="inlineStr">
        <is>
          <t>-</t>
        </is>
      </c>
      <c r="J101" s="6" t="inlineStr">
        <is>
          <t>#8 AWG bare copper</t>
        </is>
      </c>
      <c r="K101" s="6" t="n"/>
      <c r="L101" s="6" t="n"/>
      <c r="M101" s="6" t="inlineStr">
        <is>
          <t>run</t>
        </is>
      </c>
      <c r="N101" s="6" t="inlineStr">
        <is>
          <t>H1</t>
        </is>
      </c>
      <c r="O101" s="6" t="inlineStr">
        <is>
          <t>complete</t>
        </is>
      </c>
      <c r="P101" s="6" t="inlineStr">
        <is>
          <t>not_started</t>
        </is>
      </c>
      <c r="Q101" s="6" t="inlineStr">
        <is>
          <t>not_started</t>
        </is>
      </c>
      <c r="R101" s="6" t="n"/>
      <c r="S101" s="6" t="n"/>
      <c r="T101" s="7" t="inlineStr">
        <is>
          <t>TBR - length per GP1-E3. NEC 680</t>
        </is>
      </c>
      <c r="U101" s="6" t="inlineStr">
        <is>
          <t>09 Pool &amp; Water Features</t>
        </is>
      </c>
      <c r="V101" s="6" t="n">
        <v>13</v>
      </c>
      <c r="W101" s="9" t="n">
        <v>46272.71881330984</v>
      </c>
      <c r="X101" s="6" t="inlineStr">
        <is>
          <t>system</t>
        </is>
      </c>
      <c r="Y101" s="6" t="inlineStr">
        <is>
          <t>c5786616-f8e7-58af-a011-4516a7016f00</t>
        </is>
      </c>
    </row>
    <row r="102">
      <c r="A102" s="2" t="inlineStr">
        <is>
          <t>09</t>
        </is>
      </c>
      <c r="B102" s="2" t="inlineStr">
        <is>
          <t>Pool &amp; Water Features</t>
        </is>
      </c>
      <c r="C102" s="2" t="n">
        <v>101</v>
      </c>
      <c r="D102" s="3" t="inlineStr">
        <is>
          <t>Pool Bonding &amp; Electrical</t>
        </is>
      </c>
      <c r="E102" s="2" t="inlineStr">
        <is>
          <t>2 | H2</t>
        </is>
      </c>
      <c r="F102" s="2" t="n"/>
      <c r="G102" s="3" t="inlineStr">
        <is>
          <t>Bonding lugs / in-ground bond kit</t>
        </is>
      </c>
      <c r="H102" s="3" t="inlineStr">
        <is>
          <t>Pool elements</t>
        </is>
      </c>
      <c r="I102" s="2" t="inlineStr">
        <is>
          <t>Burndy</t>
        </is>
      </c>
      <c r="J102" s="2" t="inlineStr">
        <is>
          <t>KA-series + BWB680IG kit</t>
        </is>
      </c>
      <c r="K102" s="2" t="n"/>
      <c r="L102" s="2" t="n"/>
      <c r="M102" s="2" t="inlineStr">
        <is>
          <t>set</t>
        </is>
      </c>
      <c r="N102" s="2" t="inlineStr">
        <is>
          <t>H2</t>
        </is>
      </c>
      <c r="O102" s="2" t="inlineStr">
        <is>
          <t>complete</t>
        </is>
      </c>
      <c r="P102" s="2" t="inlineStr">
        <is>
          <t>not_started</t>
        </is>
      </c>
      <c r="Q102" s="2" t="inlineStr">
        <is>
          <t>not_started</t>
        </is>
      </c>
      <c r="R102" s="10" t="inlineStr">
        <is>
          <t>https://www.hubbell.com/burndy/en/products/bwb680ig-in-ground-pool-water-bonding-kit/p/484312</t>
        </is>
      </c>
      <c r="S102" s="2" t="n"/>
      <c r="T102" s="3" t="inlineStr">
        <is>
          <t>TBR - pump, heater, ladder, niches, main drain</t>
        </is>
      </c>
      <c r="U102" s="2" t="inlineStr">
        <is>
          <t>09 Pool &amp; Water Features</t>
        </is>
      </c>
      <c r="V102" s="2" t="n">
        <v>14</v>
      </c>
      <c r="W102" s="5" t="n">
        <v>46272.71881330984</v>
      </c>
      <c r="X102" s="2" t="inlineStr">
        <is>
          <t>system</t>
        </is>
      </c>
      <c r="Y102" s="2" t="inlineStr">
        <is>
          <t>db8d756d-f2da-5745-83fc-a678b266d45d</t>
        </is>
      </c>
    </row>
    <row r="103">
      <c r="A103" s="6" t="inlineStr">
        <is>
          <t>09</t>
        </is>
      </c>
      <c r="B103" s="6" t="inlineStr">
        <is>
          <t>Pool &amp; Water Features</t>
        </is>
      </c>
      <c r="C103" s="6" t="n">
        <v>102</v>
      </c>
      <c r="D103" s="7" t="inlineStr">
        <is>
          <t>Pool Controls &amp; Automation</t>
        </is>
      </c>
      <c r="E103" s="6" t="inlineStr">
        <is>
          <t>1 | A5</t>
        </is>
      </c>
      <c r="F103" s="6" t="n"/>
      <c r="G103" s="7" t="inlineStr">
        <is>
          <t>Pool controller</t>
        </is>
      </c>
      <c r="H103" s="7" t="inlineStr">
        <is>
          <t>Pump room</t>
        </is>
      </c>
      <c r="I103" s="6" t="inlineStr">
        <is>
          <t>Pentair</t>
        </is>
      </c>
      <c r="J103" s="6" t="inlineStr">
        <is>
          <t>IntelliCenter Lite i5P (523911)</t>
        </is>
      </c>
      <c r="K103" s="8" t="n">
        <v>1</v>
      </c>
      <c r="L103" s="6" t="n"/>
      <c r="M103" s="6" t="inlineStr">
        <is>
          <t>no</t>
        </is>
      </c>
      <c r="N103" s="6" t="n"/>
      <c r="O103" s="6" t="inlineStr">
        <is>
          <t>complete</t>
        </is>
      </c>
      <c r="P103" s="6" t="inlineStr">
        <is>
          <t>not_started</t>
        </is>
      </c>
      <c r="Q103" s="6" t="inlineStr">
        <is>
          <t>not_started</t>
        </is>
      </c>
      <c r="R103" s="10" t="inlineStr">
        <is>
          <t>https://www.pentair.com/content/dam/extranet/nam/pentair-pool/residential/automation/intellicenter/manuals---user-docs/intellicenter-install-guide.pdf</t>
        </is>
      </c>
      <c r="S103" s="6" t="n"/>
      <c r="T103" s="7" t="inlineStr">
        <is>
          <t>1 unit covers 2 pools. Status OK</t>
        </is>
      </c>
      <c r="U103" s="6" t="inlineStr">
        <is>
          <t>09 Pool &amp; Water Features</t>
        </is>
      </c>
      <c r="V103" s="6" t="n">
        <v>15</v>
      </c>
      <c r="W103" s="9" t="n">
        <v>46272.71881330984</v>
      </c>
      <c r="X103" s="6" t="inlineStr">
        <is>
          <t>system</t>
        </is>
      </c>
      <c r="Y103" s="6" t="inlineStr">
        <is>
          <t>60d9cf43-185b-5da3-a639-e268401c584c</t>
        </is>
      </c>
    </row>
    <row r="104">
      <c r="A104" s="2" t="inlineStr">
        <is>
          <t>09</t>
        </is>
      </c>
      <c r="B104" s="2" t="inlineStr">
        <is>
          <t>Pool &amp; Water Features</t>
        </is>
      </c>
      <c r="C104" s="2" t="n">
        <v>103</v>
      </c>
      <c r="D104" s="3" t="inlineStr">
        <is>
          <t>Pool Fittings</t>
        </is>
      </c>
      <c r="E104" s="2" t="inlineStr">
        <is>
          <t>1 | B1</t>
        </is>
      </c>
      <c r="F104" s="2" t="n"/>
      <c r="G104" s="3" t="inlineStr">
        <is>
          <t>Pool wall return inlet, 2 in</t>
        </is>
      </c>
      <c r="H104" s="3" t="inlineStr">
        <is>
          <t>Pool</t>
        </is>
      </c>
      <c r="I104" s="2" t="inlineStr">
        <is>
          <t>Hayward</t>
        </is>
      </c>
      <c r="J104" s="2" t="inlineStr">
        <is>
          <t>SP1419GR (LIGHT GRAY)</t>
        </is>
      </c>
      <c r="K104" s="4" t="n">
        <v>2</v>
      </c>
      <c r="L104" s="2" t="n"/>
      <c r="M104" s="2" t="inlineStr">
        <is>
          <t>no</t>
        </is>
      </c>
      <c r="N104" s="2" t="n"/>
      <c r="O104" s="2" t="inlineStr">
        <is>
          <t>complete</t>
        </is>
      </c>
      <c r="P104" s="2" t="inlineStr">
        <is>
          <t>not_started</t>
        </is>
      </c>
      <c r="Q104" s="2" t="inlineStr">
        <is>
          <t>not_started</t>
        </is>
      </c>
      <c r="R104" s="10" t="inlineStr">
        <is>
          <t>https://static1.squarespace.com/static/6519e230af90b51759bda677/t/66cb857eb253041fc8392757/1724614014630/Hayward+Wall+Return+Fittings.pdf</t>
        </is>
      </c>
      <c r="S104" s="2" t="n"/>
      <c r="T104" s="3" t="inlineStr">
        <is>
          <t>Status OK; waterstop B9</t>
        </is>
      </c>
      <c r="U104" s="2" t="inlineStr">
        <is>
          <t>09 Pool &amp; Water Features</t>
        </is>
      </c>
      <c r="V104" s="2" t="n">
        <v>16</v>
      </c>
      <c r="W104" s="5" t="n">
        <v>46272.71881330984</v>
      </c>
      <c r="X104" s="2" t="inlineStr">
        <is>
          <t>system</t>
        </is>
      </c>
      <c r="Y104" s="2" t="inlineStr">
        <is>
          <t>e5404f75-f7ff-59cd-885a-f6172eb7e716</t>
        </is>
      </c>
    </row>
    <row r="105">
      <c r="A105" s="6" t="inlineStr">
        <is>
          <t>09</t>
        </is>
      </c>
      <c r="B105" s="6" t="inlineStr">
        <is>
          <t>Pool &amp; Water Features</t>
        </is>
      </c>
      <c r="C105" s="6" t="n">
        <v>104</v>
      </c>
      <c r="D105" s="7" t="inlineStr">
        <is>
          <t>Pool Fittings</t>
        </is>
      </c>
      <c r="E105" s="6" t="inlineStr">
        <is>
          <t>2 | B2</t>
        </is>
      </c>
      <c r="F105" s="6" t="n"/>
      <c r="G105" s="7" t="inlineStr">
        <is>
          <t>Infinity edge return inlet, 2 in</t>
        </is>
      </c>
      <c r="H105" s="7" t="inlineStr">
        <is>
          <t>Pool</t>
        </is>
      </c>
      <c r="I105" s="6" t="inlineStr">
        <is>
          <t>Hayward</t>
        </is>
      </c>
      <c r="J105" s="6" t="inlineStr">
        <is>
          <t>SP1419GR (LIGHT GRAY)</t>
        </is>
      </c>
      <c r="K105" s="8" t="n">
        <v>6</v>
      </c>
      <c r="L105" s="6" t="n"/>
      <c r="M105" s="6" t="inlineStr">
        <is>
          <t>no</t>
        </is>
      </c>
      <c r="N105" s="6" t="n"/>
      <c r="O105" s="6" t="inlineStr">
        <is>
          <t>complete</t>
        </is>
      </c>
      <c r="P105" s="6" t="inlineStr">
        <is>
          <t>not_started</t>
        </is>
      </c>
      <c r="Q105" s="6" t="inlineStr">
        <is>
          <t>not_started</t>
        </is>
      </c>
      <c r="R105" s="10" t="inlineStr">
        <is>
          <t>https://static1.squarespace.com/static/6519e230af90b51759bda677/t/66cb857eb253041fc8392757/1724614014630/Hayward+Wall+Return+Fittings.pdf</t>
        </is>
      </c>
      <c r="S105" s="6" t="n"/>
      <c r="T105" s="7" t="inlineStr">
        <is>
          <t>Status OK</t>
        </is>
      </c>
      <c r="U105" s="6" t="inlineStr">
        <is>
          <t>09 Pool &amp; Water Features</t>
        </is>
      </c>
      <c r="V105" s="6" t="n">
        <v>17</v>
      </c>
      <c r="W105" s="9" t="n">
        <v>46272.71881330984</v>
      </c>
      <c r="X105" s="6" t="inlineStr">
        <is>
          <t>system</t>
        </is>
      </c>
      <c r="Y105" s="6" t="inlineStr">
        <is>
          <t>0e09452d-44d1-577e-80a3-c66a1c0c0484</t>
        </is>
      </c>
    </row>
    <row r="106">
      <c r="A106" s="2" t="inlineStr">
        <is>
          <t>09</t>
        </is>
      </c>
      <c r="B106" s="2" t="inlineStr">
        <is>
          <t>Pool &amp; Water Features</t>
        </is>
      </c>
      <c r="C106" s="2" t="n">
        <v>105</v>
      </c>
      <c r="D106" s="3" t="inlineStr">
        <is>
          <t>Pool Fittings</t>
        </is>
      </c>
      <c r="E106" s="2" t="inlineStr">
        <is>
          <t>3 | B3</t>
        </is>
      </c>
      <c r="F106" s="2" t="n"/>
      <c r="G106" s="3" t="inlineStr">
        <is>
          <t>Floor return inlet, 2 in (light gray, tile-match)</t>
        </is>
      </c>
      <c r="H106" s="3" t="inlineStr">
        <is>
          <t>Pool floor</t>
        </is>
      </c>
      <c r="I106" s="2" t="inlineStr">
        <is>
          <t>Color Match Pool Fittings</t>
        </is>
      </c>
      <c r="J106" s="2" t="inlineStr">
        <is>
          <t>Pebble Top PTFR-03 (LIGHT GRAY TRIM)</t>
        </is>
      </c>
      <c r="K106" s="4" t="n">
        <v>1</v>
      </c>
      <c r="L106" s="2" t="n"/>
      <c r="M106" s="2" t="inlineStr">
        <is>
          <t>no</t>
        </is>
      </c>
      <c r="N106" s="2" t="n"/>
      <c r="O106" s="2" t="inlineStr">
        <is>
          <t>complete</t>
        </is>
      </c>
      <c r="P106" s="2" t="inlineStr">
        <is>
          <t>not_started</t>
        </is>
      </c>
      <c r="Q106" s="2" t="inlineStr">
        <is>
          <t>not_started</t>
        </is>
      </c>
      <c r="R106" s="10" t="inlineStr">
        <is>
          <t>https://static1.squarespace.com/static/55257138e4b0c26feadbc8ce/t/5b2bf42eaa4a999d8cfc8e9e/1529607217692/Pebble+Top+Floor+Return+Brochure+email.pdf</t>
        </is>
      </c>
      <c r="S106" s="2" t="n"/>
      <c r="T106" s="3" t="inlineStr">
        <is>
          <t>SUB - SP1425 not in gray. RFI 82 / SUB-248</t>
        </is>
      </c>
      <c r="U106" s="2" t="inlineStr">
        <is>
          <t>09 Pool &amp; Water Features</t>
        </is>
      </c>
      <c r="V106" s="2" t="n">
        <v>18</v>
      </c>
      <c r="W106" s="5" t="n">
        <v>46272.71881330984</v>
      </c>
      <c r="X106" s="2" t="inlineStr">
        <is>
          <t>system</t>
        </is>
      </c>
      <c r="Y106" s="2" t="inlineStr">
        <is>
          <t>c4c11b08-9b3c-581e-b3de-5d7b0e5f7e21</t>
        </is>
      </c>
    </row>
    <row r="107">
      <c r="A107" s="6" t="inlineStr">
        <is>
          <t>09</t>
        </is>
      </c>
      <c r="B107" s="6" t="inlineStr">
        <is>
          <t>Pool &amp; Water Features</t>
        </is>
      </c>
      <c r="C107" s="6" t="n">
        <v>106</v>
      </c>
      <c r="D107" s="7" t="inlineStr">
        <is>
          <t>Pool Fittings</t>
        </is>
      </c>
      <c r="E107" s="6" t="inlineStr">
        <is>
          <t>4 | B4</t>
        </is>
      </c>
      <c r="F107" s="6" t="n"/>
      <c r="G107" s="7" t="inlineStr">
        <is>
          <t>Vacuum fitting, 2 in</t>
        </is>
      </c>
      <c r="H107" s="7" t="inlineStr">
        <is>
          <t>Pool</t>
        </is>
      </c>
      <c r="I107" s="6" t="inlineStr">
        <is>
          <t>Hayward</t>
        </is>
      </c>
      <c r="J107" s="6" t="inlineStr">
        <is>
          <t>W400BLGP LIGHT GRAY</t>
        </is>
      </c>
      <c r="K107" s="8" t="n">
        <v>1</v>
      </c>
      <c r="L107" s="6" t="n"/>
      <c r="M107" s="6" t="inlineStr">
        <is>
          <t>no</t>
        </is>
      </c>
      <c r="N107" s="6" t="inlineStr">
        <is>
          <t>B4</t>
        </is>
      </c>
      <c r="O107" s="6" t="inlineStr">
        <is>
          <t>complete</t>
        </is>
      </c>
      <c r="P107" s="6" t="inlineStr">
        <is>
          <t>not_started</t>
        </is>
      </c>
      <c r="Q107" s="6" t="inlineStr">
        <is>
          <t>not_started</t>
        </is>
      </c>
      <c r="R107" s="6" t="n"/>
      <c r="S107" s="6" t="n"/>
      <c r="T107" s="7" t="inlineStr">
        <is>
          <t>Status OK</t>
        </is>
      </c>
      <c r="U107" s="6" t="inlineStr">
        <is>
          <t>09 Pool &amp; Water Features</t>
        </is>
      </c>
      <c r="V107" s="6" t="n">
        <v>19</v>
      </c>
      <c r="W107" s="9" t="n">
        <v>46272.71881330984</v>
      </c>
      <c r="X107" s="6" t="inlineStr">
        <is>
          <t>system</t>
        </is>
      </c>
      <c r="Y107" s="6" t="inlineStr">
        <is>
          <t>c894a4d4-b121-5ae3-a7de-81e24b0b57e6</t>
        </is>
      </c>
    </row>
    <row r="108">
      <c r="A108" s="2" t="inlineStr">
        <is>
          <t>09</t>
        </is>
      </c>
      <c r="B108" s="2" t="inlineStr">
        <is>
          <t>Pool &amp; Water Features</t>
        </is>
      </c>
      <c r="C108" s="2" t="n">
        <v>107</v>
      </c>
      <c r="D108" s="3" t="inlineStr">
        <is>
          <t>Pool Fittings</t>
        </is>
      </c>
      <c r="E108" s="2" t="inlineStr">
        <is>
          <t>5 | B5</t>
        </is>
      </c>
      <c r="F108" s="2" t="n"/>
      <c r="G108" s="3" t="inlineStr">
        <is>
          <t>Main drain 32 in X 8-1/2"</t>
        </is>
      </c>
      <c r="H108" s="3" t="inlineStr">
        <is>
          <t>Pool floor</t>
        </is>
      </c>
      <c r="I108" s="2" t="inlineStr">
        <is>
          <t>Pentair</t>
        </is>
      </c>
      <c r="J108" s="2" t="inlineStr">
        <is>
          <t>AVSC LIGHT GRAY</t>
        </is>
      </c>
      <c r="K108" s="4" t="n">
        <v>1</v>
      </c>
      <c r="L108" s="2" t="n"/>
      <c r="M108" s="2" t="inlineStr">
        <is>
          <t>kit</t>
        </is>
      </c>
      <c r="N108" s="2" t="n"/>
      <c r="O108" s="2" t="inlineStr">
        <is>
          <t>complete</t>
        </is>
      </c>
      <c r="P108" s="2" t="inlineStr">
        <is>
          <t>not_started</t>
        </is>
      </c>
      <c r="Q108" s="2" t="inlineStr">
        <is>
          <t>not_started</t>
        </is>
      </c>
      <c r="R108" s="10" t="inlineStr">
        <is>
          <t>https://www.pentair.com/content/dam/extranet/nam/pentair-pool/residential/in-floor-cleaning-and-circulation/avsc-heavy-debris-removal/user-docs/avsc-drain-install-and-user-guide.pdf</t>
        </is>
      </c>
      <c r="S108" s="2" t="n"/>
      <c r="T108" s="3" t="inlineStr">
        <is>
          <t>sump+frame+2 covers. Status OK</t>
        </is>
      </c>
      <c r="U108" s="2" t="inlineStr">
        <is>
          <t>09 Pool &amp; Water Features</t>
        </is>
      </c>
      <c r="V108" s="2" t="n">
        <v>20</v>
      </c>
      <c r="W108" s="5" t="n">
        <v>46272.71881330984</v>
      </c>
      <c r="X108" s="2" t="inlineStr">
        <is>
          <t>system</t>
        </is>
      </c>
      <c r="Y108" s="2" t="inlineStr">
        <is>
          <t>bab41ab7-7086-5722-a0cf-4f906dcbada0</t>
        </is>
      </c>
    </row>
    <row r="109">
      <c r="A109" s="6" t="inlineStr">
        <is>
          <t>09</t>
        </is>
      </c>
      <c r="B109" s="6" t="inlineStr">
        <is>
          <t>Pool &amp; Water Features</t>
        </is>
      </c>
      <c r="C109" s="6" t="n">
        <v>108</v>
      </c>
      <c r="D109" s="7" t="inlineStr">
        <is>
          <t>Pool Fittings</t>
        </is>
      </c>
      <c r="E109" s="6" t="inlineStr">
        <is>
          <t>6 | B6</t>
        </is>
      </c>
      <c r="F109" s="6" t="n"/>
      <c r="G109" s="7" t="inlineStr">
        <is>
          <t>Infinity edge trough drain outlet, 3 in</t>
        </is>
      </c>
      <c r="H109" s="7" t="inlineStr">
        <is>
          <t>Trough</t>
        </is>
      </c>
      <c r="I109" s="6" t="inlineStr">
        <is>
          <t>Spears</t>
        </is>
      </c>
      <c r="J109" s="6" t="inlineStr">
        <is>
          <t>Sch 40 PVC 3 in</t>
        </is>
      </c>
      <c r="K109" s="8" t="n">
        <v>8</v>
      </c>
      <c r="L109" s="6" t="n"/>
      <c r="M109" s="6" t="inlineStr">
        <is>
          <t>no</t>
        </is>
      </c>
      <c r="N109" s="6" t="inlineStr">
        <is>
          <t>B5</t>
        </is>
      </c>
      <c r="O109" s="6" t="inlineStr">
        <is>
          <t>complete</t>
        </is>
      </c>
      <c r="P109" s="6" t="inlineStr">
        <is>
          <t>not_started</t>
        </is>
      </c>
      <c r="Q109" s="6" t="inlineStr">
        <is>
          <t>not_started</t>
        </is>
      </c>
      <c r="R109" s="10" t="inlineStr">
        <is>
          <t>https://parts.spearsmfg.com/sourcebook/SCH40TECH_40WHTPIPE-1_T_PVC40_T.pdf</t>
        </is>
      </c>
      <c r="S109" s="6" t="n"/>
      <c r="T109" s="7" t="inlineStr">
        <is>
          <t>Status OK</t>
        </is>
      </c>
      <c r="U109" s="6" t="inlineStr">
        <is>
          <t>09 Pool &amp; Water Features</t>
        </is>
      </c>
      <c r="V109" s="6" t="n">
        <v>21</v>
      </c>
      <c r="W109" s="9" t="n">
        <v>46272.71881330984</v>
      </c>
      <c r="X109" s="6" t="inlineStr">
        <is>
          <t>system</t>
        </is>
      </c>
      <c r="Y109" s="6" t="inlineStr">
        <is>
          <t>498020a6-06c1-5834-99f6-c562be8f70df</t>
        </is>
      </c>
    </row>
    <row r="110">
      <c r="A110" s="2" t="inlineStr">
        <is>
          <t>09</t>
        </is>
      </c>
      <c r="B110" s="2" t="inlineStr">
        <is>
          <t>Pool &amp; Water Features</t>
        </is>
      </c>
      <c r="C110" s="2" t="n">
        <v>109</v>
      </c>
      <c r="D110" s="3" t="inlineStr">
        <is>
          <t>Pool Fittings</t>
        </is>
      </c>
      <c r="E110" s="2" t="inlineStr">
        <is>
          <t>7 | B7</t>
        </is>
      </c>
      <c r="F110" s="2" t="n"/>
      <c r="G110" s="3" t="inlineStr">
        <is>
          <t>Automatic water filler</t>
        </is>
      </c>
      <c r="H110" s="3" t="inlineStr">
        <is>
          <t>Balancing tank</t>
        </is>
      </c>
      <c r="I110" s="2" t="inlineStr">
        <is>
          <t>Pentair</t>
        </is>
      </c>
      <c r="J110" s="2" t="inlineStr">
        <is>
          <t>T40-F</t>
        </is>
      </c>
      <c r="K110" s="4" t="n">
        <v>1</v>
      </c>
      <c r="L110" s="2" t="n"/>
      <c r="M110" s="2" t="inlineStr">
        <is>
          <t>no</t>
        </is>
      </c>
      <c r="N110" s="2" t="n"/>
      <c r="O110" s="2" t="inlineStr">
        <is>
          <t>complete</t>
        </is>
      </c>
      <c r="P110" s="2" t="inlineStr">
        <is>
          <t>not_started</t>
        </is>
      </c>
      <c r="Q110" s="2" t="inlineStr">
        <is>
          <t>not_started</t>
        </is>
      </c>
      <c r="R110" s="10" t="inlineStr">
        <is>
          <t>https://www.pentair.com/content/dam/extranet/nam/pentair-pool/residential/white-goods/auto-water-fillers/automatic-water-filler-brochure-english.pdf</t>
        </is>
      </c>
      <c r="S110" s="2" t="n"/>
      <c r="T110" s="3" t="inlineStr">
        <is>
          <t>SP-01 item 9. Status OK</t>
        </is>
      </c>
      <c r="U110" s="2" t="inlineStr">
        <is>
          <t>09 Pool &amp; Water Features</t>
        </is>
      </c>
      <c r="V110" s="2" t="n">
        <v>22</v>
      </c>
      <c r="W110" s="5" t="n">
        <v>46272.71881330984</v>
      </c>
      <c r="X110" s="2" t="inlineStr">
        <is>
          <t>system</t>
        </is>
      </c>
      <c r="Y110" s="2" t="inlineStr">
        <is>
          <t>a760fbd2-d575-57ad-b6a1-99651640e21d</t>
        </is>
      </c>
    </row>
    <row r="111">
      <c r="A111" s="6" t="inlineStr">
        <is>
          <t>09</t>
        </is>
      </c>
      <c r="B111" s="6" t="inlineStr">
        <is>
          <t>Pool &amp; Water Features</t>
        </is>
      </c>
      <c r="C111" s="6" t="n">
        <v>110</v>
      </c>
      <c r="D111" s="7" t="inlineStr">
        <is>
          <t>Pool Fittings</t>
        </is>
      </c>
      <c r="E111" s="6" t="inlineStr">
        <is>
          <t>8 | B8</t>
        </is>
      </c>
      <c r="F111" s="6" t="n"/>
      <c r="G111" s="7" t="inlineStr">
        <is>
          <t>Equalizer wall return inlet, 1-1/2 in</t>
        </is>
      </c>
      <c r="H111" s="7" t="inlineStr">
        <is>
          <t>Pool</t>
        </is>
      </c>
      <c r="I111" s="6" t="inlineStr">
        <is>
          <t>Hayward</t>
        </is>
      </c>
      <c r="J111" s="6" t="inlineStr">
        <is>
          <t>SP1408</t>
        </is>
      </c>
      <c r="K111" s="8" t="n">
        <v>1</v>
      </c>
      <c r="L111" s="6" t="n"/>
      <c r="M111" s="6" t="inlineStr">
        <is>
          <t>no</t>
        </is>
      </c>
      <c r="N111" s="6" t="inlineStr">
        <is>
          <t>B7</t>
        </is>
      </c>
      <c r="O111" s="6" t="inlineStr">
        <is>
          <t>complete</t>
        </is>
      </c>
      <c r="P111" s="6" t="inlineStr">
        <is>
          <t>not_started</t>
        </is>
      </c>
      <c r="Q111" s="6" t="inlineStr">
        <is>
          <t>not_started</t>
        </is>
      </c>
      <c r="R111" s="10" t="inlineStr">
        <is>
          <t>https://hayward.com/media/akeneo_connector/asset_files/I/S/IS1408_RevC_d3fc.pdf</t>
        </is>
      </c>
      <c r="S111" s="6" t="n"/>
      <c r="T111" s="7" t="inlineStr">
        <is>
          <t>auto-filler discharge</t>
        </is>
      </c>
      <c r="U111" s="6" t="inlineStr">
        <is>
          <t>09 Pool &amp; Water Features</t>
        </is>
      </c>
      <c r="V111" s="6" t="n">
        <v>23</v>
      </c>
      <c r="W111" s="9" t="n">
        <v>46272.71881330984</v>
      </c>
      <c r="X111" s="6" t="inlineStr">
        <is>
          <t>system</t>
        </is>
      </c>
      <c r="Y111" s="6" t="inlineStr">
        <is>
          <t>45bb79ef-99f3-5875-8215-697418d3f7f2</t>
        </is>
      </c>
    </row>
    <row r="112">
      <c r="A112" s="2" t="inlineStr">
        <is>
          <t>09</t>
        </is>
      </c>
      <c r="B112" s="2" t="inlineStr">
        <is>
          <t>Pool &amp; Water Features</t>
        </is>
      </c>
      <c r="C112" s="2" t="n">
        <v>111</v>
      </c>
      <c r="D112" s="3" t="inlineStr">
        <is>
          <t>Pool Fittings</t>
        </is>
      </c>
      <c r="E112" s="2" t="inlineStr">
        <is>
          <t>9 | B9</t>
        </is>
      </c>
      <c r="F112" s="2" t="n"/>
      <c r="G112" s="3" t="inlineStr">
        <is>
          <t>Waterstop sleeve fittings, PVC (2 in x11 + 1-1/2 in x1)</t>
        </is>
      </c>
      <c r="H112" s="3" t="inlineStr">
        <is>
          <t>Pool shell</t>
        </is>
      </c>
      <c r="I112" s="2" t="inlineStr">
        <is>
          <t>ASA</t>
        </is>
      </c>
      <c r="J112" s="2" t="inlineStr">
        <is>
          <t>PVC Sleeve PVC-40-302 / 301</t>
        </is>
      </c>
      <c r="K112" s="4" t="n">
        <v>12</v>
      </c>
      <c r="L112" s="2" t="n"/>
      <c r="M112" s="2" t="inlineStr">
        <is>
          <t>no</t>
        </is>
      </c>
      <c r="N112" s="2" t="inlineStr">
        <is>
          <t>B8</t>
        </is>
      </c>
      <c r="O112" s="2" t="inlineStr">
        <is>
          <t>complete</t>
        </is>
      </c>
      <c r="P112" s="2" t="inlineStr">
        <is>
          <t>not_started</t>
        </is>
      </c>
      <c r="Q112" s="2" t="inlineStr">
        <is>
          <t>not_started</t>
        </is>
      </c>
      <c r="R112" s="2" t="n"/>
      <c r="S112" s="2" t="n"/>
      <c r="T112" s="3" t="inlineStr">
        <is>
          <t>CLARIF - drawing 'FPK-40-302' is a typo. RFI</t>
        </is>
      </c>
      <c r="U112" s="2" t="inlineStr">
        <is>
          <t>09 Pool &amp; Water Features</t>
        </is>
      </c>
      <c r="V112" s="2" t="n">
        <v>24</v>
      </c>
      <c r="W112" s="5" t="n">
        <v>46272.71881330984</v>
      </c>
      <c r="X112" s="2" t="inlineStr">
        <is>
          <t>system</t>
        </is>
      </c>
      <c r="Y112" s="2" t="inlineStr">
        <is>
          <t>3183e5df-920c-5f5e-b525-69d176175294</t>
        </is>
      </c>
    </row>
    <row r="113">
      <c r="A113" s="6" t="inlineStr">
        <is>
          <t>09</t>
        </is>
      </c>
      <c r="B113" s="6" t="inlineStr">
        <is>
          <t>Pool &amp; Water Features</t>
        </is>
      </c>
      <c r="C113" s="6" t="n">
        <v>112</v>
      </c>
      <c r="D113" s="7" t="inlineStr">
        <is>
          <t>Pool Heating</t>
        </is>
      </c>
      <c r="E113" s="6" t="inlineStr">
        <is>
          <t>1 | A6</t>
        </is>
      </c>
      <c r="F113" s="6" t="n"/>
      <c r="G113" s="7" t="inlineStr">
        <is>
          <t>Pool heat pump, ~142k BTU, COP 6.2</t>
        </is>
      </c>
      <c r="H113" s="7" t="inlineStr">
        <is>
          <t>Equipment</t>
        </is>
      </c>
      <c r="I113" s="6" t="inlineStr">
        <is>
          <t>Gulfstream</t>
        </is>
      </c>
      <c r="J113" s="6" t="inlineStr">
        <is>
          <t>HE-150 (alt Pentair UltraTemp 140)</t>
        </is>
      </c>
      <c r="K113" s="8" t="n">
        <v>1</v>
      </c>
      <c r="L113" s="6" t="n"/>
      <c r="M113" s="6" t="inlineStr">
        <is>
          <t>no</t>
        </is>
      </c>
      <c r="N113" s="6" t="n"/>
      <c r="O113" s="6" t="inlineStr">
        <is>
          <t>complete</t>
        </is>
      </c>
      <c r="P113" s="6" t="inlineStr">
        <is>
          <t>not_started</t>
        </is>
      </c>
      <c r="Q113" s="6" t="inlineStr">
        <is>
          <t>not_started</t>
        </is>
      </c>
      <c r="R113" s="10" t="inlineStr">
        <is>
          <t>https://www.gulfstreamheatpump.com/models/#more-information</t>
        </is>
      </c>
      <c r="S113" s="6" t="n"/>
      <c r="T113" s="7" t="inlineStr">
        <is>
          <t>SUB from discontinued AquaCal SQ225. R3</t>
        </is>
      </c>
      <c r="U113" s="6" t="inlineStr">
        <is>
          <t>09 Pool &amp; Water Features</t>
        </is>
      </c>
      <c r="V113" s="6" t="n">
        <v>25</v>
      </c>
      <c r="W113" s="9" t="n">
        <v>46272.71881330984</v>
      </c>
      <c r="X113" s="6" t="inlineStr">
        <is>
          <t>system</t>
        </is>
      </c>
      <c r="Y113" s="6" t="inlineStr">
        <is>
          <t>ad05c113-0869-5ea6-83dd-9765a6ff30c4</t>
        </is>
      </c>
    </row>
    <row r="114">
      <c r="A114" s="2" t="inlineStr">
        <is>
          <t>09</t>
        </is>
      </c>
      <c r="B114" s="2" t="inlineStr">
        <is>
          <t>Pool &amp; Water Features</t>
        </is>
      </c>
      <c r="C114" s="2" t="n">
        <v>113</v>
      </c>
      <c r="D114" s="3" t="inlineStr">
        <is>
          <t>Pool Lighting</t>
        </is>
      </c>
      <c r="E114" s="2" t="inlineStr">
        <is>
          <t>1 | D1 / L09</t>
        </is>
      </c>
      <c r="F114" s="2" t="n"/>
      <c r="G114" s="3" t="inlineStr">
        <is>
          <t>Pool step submersible fixture, 12 W, 2 in</t>
        </is>
      </c>
      <c r="H114" s="3" t="inlineStr">
        <is>
          <t>Pool steps</t>
        </is>
      </c>
      <c r="I114" s="2" t="inlineStr">
        <is>
          <t>Pentair</t>
        </is>
      </c>
      <c r="J114" s="2" t="inlineStr">
        <is>
          <t>IntelliVibe Micro 602280</t>
        </is>
      </c>
      <c r="K114" s="4" t="n">
        <v>8</v>
      </c>
      <c r="L114" s="2" t="n"/>
      <c r="M114" s="2" t="inlineStr">
        <is>
          <t>no</t>
        </is>
      </c>
      <c r="N114" s="2" t="n"/>
      <c r="O114" s="2" t="inlineStr">
        <is>
          <t>complete</t>
        </is>
      </c>
      <c r="P114" s="2" t="inlineStr">
        <is>
          <t>not_started</t>
        </is>
      </c>
      <c r="Q114" s="2" t="inlineStr">
        <is>
          <t>not_started</t>
        </is>
      </c>
      <c r="R114" s="10" t="inlineStr">
        <is>
          <t>http://www.pentair.com/intellivibe</t>
        </is>
      </c>
      <c r="S114" s="2" t="n"/>
      <c r="T114" s="3" t="inlineStr">
        <is>
          <t>SUB from L&amp;L Bright 1.6. R4. LD2-02 zone 3.8</t>
        </is>
      </c>
      <c r="U114" s="2" t="inlineStr">
        <is>
          <t>09 Pool &amp; Water Features</t>
        </is>
      </c>
      <c r="V114" s="2" t="n">
        <v>26</v>
      </c>
      <c r="W114" s="5" t="n">
        <v>46272.71881330984</v>
      </c>
      <c r="X114" s="2" t="inlineStr">
        <is>
          <t>system</t>
        </is>
      </c>
      <c r="Y114" s="2" t="inlineStr">
        <is>
          <t>aaf4d51f-6270-5eda-9a77-e342126a142d</t>
        </is>
      </c>
    </row>
    <row r="115">
      <c r="A115" s="6" t="inlineStr">
        <is>
          <t>09</t>
        </is>
      </c>
      <c r="B115" s="6" t="inlineStr">
        <is>
          <t>Pool &amp; Water Features</t>
        </is>
      </c>
      <c r="C115" s="6" t="n">
        <v>114</v>
      </c>
      <c r="D115" s="7" t="inlineStr">
        <is>
          <t>Pool Lighting</t>
        </is>
      </c>
      <c r="E115" s="6" t="inlineStr">
        <is>
          <t>2 | D2 / L09.1</t>
        </is>
      </c>
      <c r="F115" s="6" t="n"/>
      <c r="G115" s="7" t="inlineStr">
        <is>
          <t>Pool body submersible fixture, 12 W (Mezzo 24W alt)</t>
        </is>
      </c>
      <c r="H115" s="7" t="inlineStr">
        <is>
          <t>Pool body</t>
        </is>
      </c>
      <c r="I115" s="6" t="inlineStr">
        <is>
          <t>Pentair</t>
        </is>
      </c>
      <c r="J115" s="6" t="inlineStr">
        <is>
          <t>IntelliVibe Micro (Mezzo 24W alt)</t>
        </is>
      </c>
      <c r="K115" s="8" t="n">
        <v>5</v>
      </c>
      <c r="L115" s="6" t="n"/>
      <c r="M115" s="6" t="inlineStr">
        <is>
          <t>no</t>
        </is>
      </c>
      <c r="N115" s="6" t="n"/>
      <c r="O115" s="6" t="inlineStr">
        <is>
          <t>complete</t>
        </is>
      </c>
      <c r="P115" s="6" t="inlineStr">
        <is>
          <t>not_started</t>
        </is>
      </c>
      <c r="Q115" s="6" t="inlineStr">
        <is>
          <t>not_started</t>
        </is>
      </c>
      <c r="R115" s="10" t="inlineStr">
        <is>
          <t>http://www.pentair.com/intellivibe</t>
        </is>
      </c>
      <c r="S115" s="6" t="n"/>
      <c r="T115" s="7" t="inlineStr">
        <is>
          <t>SUB from L&amp;L Bright 3.0. R4</t>
        </is>
      </c>
      <c r="U115" s="6" t="inlineStr">
        <is>
          <t>09 Pool &amp; Water Features</t>
        </is>
      </c>
      <c r="V115" s="6" t="n">
        <v>27</v>
      </c>
      <c r="W115" s="9" t="n">
        <v>46272.71881330984</v>
      </c>
      <c r="X115" s="6" t="inlineStr">
        <is>
          <t>system</t>
        </is>
      </c>
      <c r="Y115" s="6" t="inlineStr">
        <is>
          <t>69b52850-dc8b-5426-b554-27f6b318955f</t>
        </is>
      </c>
    </row>
    <row r="116">
      <c r="A116" s="2" t="inlineStr">
        <is>
          <t>09</t>
        </is>
      </c>
      <c r="B116" s="2" t="inlineStr">
        <is>
          <t>Pool &amp; Water Features</t>
        </is>
      </c>
      <c r="C116" s="2" t="n">
        <v>115</v>
      </c>
      <c r="D116" s="3" t="inlineStr">
        <is>
          <t>Pool Lighting</t>
        </is>
      </c>
      <c r="E116" s="2" t="inlineStr">
        <is>
          <t>3 | D3</t>
        </is>
      </c>
      <c r="F116" s="2" t="n"/>
      <c r="G116" s="3" t="inlineStr">
        <is>
          <t>Light conduit, 2 in Sch 40 PVC</t>
        </is>
      </c>
      <c r="H116" s="3" t="inlineStr">
        <is>
          <t>Pool</t>
        </is>
      </c>
      <c r="I116" s="2" t="inlineStr">
        <is>
          <t>Spears</t>
        </is>
      </c>
      <c r="J116" s="2" t="inlineStr">
        <is>
          <t>Sch 40 PVC</t>
        </is>
      </c>
      <c r="K116" s="4" t="n">
        <v>13</v>
      </c>
      <c r="L116" s="2" t="n"/>
      <c r="M116" s="2" t="inlineStr">
        <is>
          <t>run</t>
        </is>
      </c>
      <c r="N116" s="2" t="inlineStr">
        <is>
          <t>D2</t>
        </is>
      </c>
      <c r="O116" s="2" t="inlineStr">
        <is>
          <t>complete</t>
        </is>
      </c>
      <c r="P116" s="2" t="inlineStr">
        <is>
          <t>not_started</t>
        </is>
      </c>
      <c r="Q116" s="2" t="inlineStr">
        <is>
          <t>not_started</t>
        </is>
      </c>
      <c r="R116" s="10" t="inlineStr">
        <is>
          <t>https://parts.spearsmfg.com/sourcebook/SCH40TECH_40WHTPIPE-1_T_PVC40_T.pdf</t>
        </is>
      </c>
      <c r="S116" s="2" t="n"/>
      <c r="T116" s="3" t="inlineStr">
        <is>
          <t>one run per fixture to driver/JB</t>
        </is>
      </c>
      <c r="U116" s="2" t="inlineStr">
        <is>
          <t>09 Pool &amp; Water Features</t>
        </is>
      </c>
      <c r="V116" s="2" t="n">
        <v>28</v>
      </c>
      <c r="W116" s="5" t="n">
        <v>46272.71881330984</v>
      </c>
      <c r="X116" s="2" t="inlineStr">
        <is>
          <t>system</t>
        </is>
      </c>
      <c r="Y116" s="2" t="inlineStr">
        <is>
          <t>db8e49ba-7d7f-5486-9562-2333d10e1dc2</t>
        </is>
      </c>
    </row>
    <row r="117">
      <c r="A117" s="6" t="inlineStr">
        <is>
          <t>09</t>
        </is>
      </c>
      <c r="B117" s="6" t="inlineStr">
        <is>
          <t>Pool &amp; Water Features</t>
        </is>
      </c>
      <c r="C117" s="6" t="n">
        <v>116</v>
      </c>
      <c r="D117" s="7" t="inlineStr">
        <is>
          <t>Pool Piping &amp; Valves</t>
        </is>
      </c>
      <c r="E117" s="6" t="inlineStr">
        <is>
          <t>1 | G1</t>
        </is>
      </c>
      <c r="F117" s="6" t="n"/>
      <c r="G117" s="7" t="inlineStr">
        <is>
          <t>PVC ball valves</t>
        </is>
      </c>
      <c r="H117" s="7" t="inlineStr">
        <is>
          <t>Pump room</t>
        </is>
      </c>
      <c r="I117" s="6" t="n"/>
      <c r="J117" s="6" t="inlineStr">
        <is>
          <t>PVC</t>
        </is>
      </c>
      <c r="K117" s="8" t="n">
        <v>12</v>
      </c>
      <c r="L117" s="6" t="n"/>
      <c r="M117" s="6" t="inlineStr">
        <is>
          <t>no</t>
        </is>
      </c>
      <c r="N117" s="6" t="inlineStr">
        <is>
          <t>G1</t>
        </is>
      </c>
      <c r="O117" s="6" t="inlineStr">
        <is>
          <t>complete</t>
        </is>
      </c>
      <c r="P117" s="6" t="inlineStr">
        <is>
          <t>not_started</t>
        </is>
      </c>
      <c r="Q117" s="6" t="inlineStr">
        <is>
          <t>not_started</t>
        </is>
      </c>
      <c r="R117" s="10" t="inlineStr">
        <is>
          <t>https://parts.spearsmfg.com/sourcebook/SCH40TECH_40-1_T.pdf</t>
        </is>
      </c>
      <c r="S117" s="6" t="n"/>
      <c r="T117" s="7" t="inlineStr">
        <is>
          <t>TBR - qty per pump-room schematic (6-8 est)</t>
        </is>
      </c>
      <c r="U117" s="6" t="inlineStr">
        <is>
          <t>09 Pool &amp; Water Features</t>
        </is>
      </c>
      <c r="V117" s="6" t="n">
        <v>29</v>
      </c>
      <c r="W117" s="9" t="n">
        <v>46272.71881330984</v>
      </c>
      <c r="X117" s="6" t="inlineStr">
        <is>
          <t>system</t>
        </is>
      </c>
      <c r="Y117" s="6" t="inlineStr">
        <is>
          <t>0653c504-fc5b-5f75-ae8f-9fbde622b721</t>
        </is>
      </c>
    </row>
    <row r="118">
      <c r="A118" s="2" t="inlineStr">
        <is>
          <t>09</t>
        </is>
      </c>
      <c r="B118" s="2" t="inlineStr">
        <is>
          <t>Pool &amp; Water Features</t>
        </is>
      </c>
      <c r="C118" s="2" t="n">
        <v>117</v>
      </c>
      <c r="D118" s="3" t="inlineStr">
        <is>
          <t>Pool Piping &amp; Valves</t>
        </is>
      </c>
      <c r="E118" s="2" t="inlineStr">
        <is>
          <t>2 | G2</t>
        </is>
      </c>
      <c r="F118" s="2" t="n"/>
      <c r="G118" s="3" t="inlineStr">
        <is>
          <t>PVC check valves</t>
        </is>
      </c>
      <c r="H118" s="3" t="inlineStr">
        <is>
          <t>Pump room</t>
        </is>
      </c>
      <c r="I118" s="2" t="n"/>
      <c r="J118" s="2" t="inlineStr">
        <is>
          <t>PVC</t>
        </is>
      </c>
      <c r="K118" s="4" t="n">
        <v>4</v>
      </c>
      <c r="L118" s="2" t="n"/>
      <c r="M118" s="2" t="inlineStr">
        <is>
          <t>no</t>
        </is>
      </c>
      <c r="N118" s="2" t="inlineStr">
        <is>
          <t>G2</t>
        </is>
      </c>
      <c r="O118" s="2" t="inlineStr">
        <is>
          <t>complete</t>
        </is>
      </c>
      <c r="P118" s="2" t="inlineStr">
        <is>
          <t>not_started</t>
        </is>
      </c>
      <c r="Q118" s="2" t="inlineStr">
        <is>
          <t>not_started</t>
        </is>
      </c>
      <c r="R118" s="10" t="inlineStr">
        <is>
          <t>https://parts.spearsmfg.com/sourcebook/SCH40TECH_40-1_T.pdf</t>
        </is>
      </c>
      <c r="S118" s="2" t="n"/>
      <c r="T118" s="3" t="inlineStr">
        <is>
          <t>TBR (2 est)</t>
        </is>
      </c>
      <c r="U118" s="2" t="inlineStr">
        <is>
          <t>09 Pool &amp; Water Features</t>
        </is>
      </c>
      <c r="V118" s="2" t="n">
        <v>30</v>
      </c>
      <c r="W118" s="5" t="n">
        <v>46272.71881330984</v>
      </c>
      <c r="X118" s="2" t="inlineStr">
        <is>
          <t>system</t>
        </is>
      </c>
      <c r="Y118" s="2" t="inlineStr">
        <is>
          <t>7ec88eef-cf6f-542b-b3da-40dcb948fd9c</t>
        </is>
      </c>
    </row>
    <row r="119">
      <c r="A119" s="6" t="inlineStr">
        <is>
          <t>09</t>
        </is>
      </c>
      <c r="B119" s="6" t="inlineStr">
        <is>
          <t>Pool &amp; Water Features</t>
        </is>
      </c>
      <c r="C119" s="6" t="n">
        <v>118</v>
      </c>
      <c r="D119" s="7" t="inlineStr">
        <is>
          <t>Pool Piping &amp; Valves</t>
        </is>
      </c>
      <c r="E119" s="6" t="inlineStr">
        <is>
          <t>4 | G4</t>
        </is>
      </c>
      <c r="F119" s="6" t="n"/>
      <c r="G119" s="7" t="inlineStr">
        <is>
          <t>Balancing valves in enclosure</t>
        </is>
      </c>
      <c r="H119" s="7" t="inlineStr">
        <is>
          <t>Pool</t>
        </is>
      </c>
      <c r="I119" s="6" t="n"/>
      <c r="J119" s="6" t="inlineStr">
        <is>
          <t>PVC</t>
        </is>
      </c>
      <c r="K119" s="8" t="n">
        <v>9</v>
      </c>
      <c r="L119" s="6" t="n"/>
      <c r="M119" s="6" t="inlineStr">
        <is>
          <t>no</t>
        </is>
      </c>
      <c r="N119" s="6" t="inlineStr">
        <is>
          <t>G4</t>
        </is>
      </c>
      <c r="O119" s="6" t="inlineStr">
        <is>
          <t>complete</t>
        </is>
      </c>
      <c r="P119" s="6" t="inlineStr">
        <is>
          <t>not_started</t>
        </is>
      </c>
      <c r="Q119" s="6" t="inlineStr">
        <is>
          <t>not_started</t>
        </is>
      </c>
      <c r="R119" s="10" t="inlineStr">
        <is>
          <t>https://parts.spearsmfg.com/sourcebook/SCH40TECH_40-1_T.pdf</t>
        </is>
      </c>
      <c r="S119" s="6" t="n"/>
      <c r="T119" s="7" t="inlineStr">
        <is>
          <t>TBR - location &amp; qty per design</t>
        </is>
      </c>
      <c r="U119" s="6" t="inlineStr">
        <is>
          <t>09 Pool &amp; Water Features</t>
        </is>
      </c>
      <c r="V119" s="6" t="n">
        <v>31</v>
      </c>
      <c r="W119" s="9" t="n">
        <v>46272.71881330984</v>
      </c>
      <c r="X119" s="6" t="inlineStr">
        <is>
          <t>system</t>
        </is>
      </c>
      <c r="Y119" s="6" t="inlineStr">
        <is>
          <t>81dcc1eb-dae3-5641-b010-540ac4e4c591</t>
        </is>
      </c>
    </row>
    <row r="120">
      <c r="A120" s="2" t="inlineStr">
        <is>
          <t>09</t>
        </is>
      </c>
      <c r="B120" s="2" t="inlineStr">
        <is>
          <t>Pool &amp; Water Features</t>
        </is>
      </c>
      <c r="C120" s="2" t="n">
        <v>119</v>
      </c>
      <c r="D120" s="3" t="inlineStr">
        <is>
          <t>Pool Piping &amp; Valves</t>
        </is>
      </c>
      <c r="E120" s="2" t="inlineStr">
        <is>
          <t>5 | G5</t>
        </is>
      </c>
      <c r="F120" s="2" t="n"/>
      <c r="G120" s="3" t="inlineStr">
        <is>
          <t>Main return pipe, 2 in Sch 40 PVC</t>
        </is>
      </c>
      <c r="H120" s="3" t="inlineStr">
        <is>
          <t>Pump room to pool</t>
        </is>
      </c>
      <c r="I120" s="2" t="n"/>
      <c r="J120" s="2" t="inlineStr">
        <is>
          <t>Sch 40 PVC</t>
        </is>
      </c>
      <c r="K120" s="2" t="n"/>
      <c r="L120" s="2" t="n"/>
      <c r="M120" s="2" t="inlineStr">
        <is>
          <t>run</t>
        </is>
      </c>
      <c r="N120" s="2" t="inlineStr">
        <is>
          <t>G5</t>
        </is>
      </c>
      <c r="O120" s="2" t="inlineStr">
        <is>
          <t>complete</t>
        </is>
      </c>
      <c r="P120" s="2" t="inlineStr">
        <is>
          <t>not_started</t>
        </is>
      </c>
      <c r="Q120" s="2" t="inlineStr">
        <is>
          <t>not_started</t>
        </is>
      </c>
      <c r="R120" s="10" t="inlineStr">
        <is>
          <t>https://parts.spearsmfg.com/sourcebook/SCH40TECH_40WHTPIPE-1_T_PVC40_T.pdf</t>
        </is>
      </c>
      <c r="S120" s="2" t="n"/>
      <c r="T120" s="3" t="inlineStr">
        <is>
          <t>Status OK</t>
        </is>
      </c>
      <c r="U120" s="2" t="inlineStr">
        <is>
          <t>09 Pool &amp; Water Features</t>
        </is>
      </c>
      <c r="V120" s="2" t="n">
        <v>32</v>
      </c>
      <c r="W120" s="5" t="n">
        <v>46272.71881330984</v>
      </c>
      <c r="X120" s="2" t="inlineStr">
        <is>
          <t>system</t>
        </is>
      </c>
      <c r="Y120" s="2" t="inlineStr">
        <is>
          <t>3ad0a7f0-0d86-5c1e-8b3c-3f2975b3f6f7</t>
        </is>
      </c>
    </row>
    <row r="121">
      <c r="A121" s="6" t="inlineStr">
        <is>
          <t>09</t>
        </is>
      </c>
      <c r="B121" s="6" t="inlineStr">
        <is>
          <t>Pool &amp; Water Features</t>
        </is>
      </c>
      <c r="C121" s="6" t="n">
        <v>120</v>
      </c>
      <c r="D121" s="7" t="inlineStr">
        <is>
          <t>Pool Piping &amp; Valves</t>
        </is>
      </c>
      <c r="E121" s="6" t="inlineStr">
        <is>
          <t>6 | G6</t>
        </is>
      </c>
      <c r="F121" s="6" t="n"/>
      <c r="G121" s="7" t="inlineStr">
        <is>
          <t>Infinity edge main return, 2-1/2 in Sch 40 PVC</t>
        </is>
      </c>
      <c r="H121" s="7" t="inlineStr">
        <is>
          <t>Pump room to edge</t>
        </is>
      </c>
      <c r="I121" s="6" t="n"/>
      <c r="J121" s="6" t="inlineStr">
        <is>
          <t>Sch 40 PVC</t>
        </is>
      </c>
      <c r="K121" s="6" t="n"/>
      <c r="L121" s="6" t="n"/>
      <c r="M121" s="6" t="inlineStr">
        <is>
          <t>run</t>
        </is>
      </c>
      <c r="N121" s="6" t="inlineStr">
        <is>
          <t>G5</t>
        </is>
      </c>
      <c r="O121" s="6" t="inlineStr">
        <is>
          <t>complete</t>
        </is>
      </c>
      <c r="P121" s="6" t="inlineStr">
        <is>
          <t>not_started</t>
        </is>
      </c>
      <c r="Q121" s="6" t="inlineStr">
        <is>
          <t>not_started</t>
        </is>
      </c>
      <c r="R121" s="10" t="inlineStr">
        <is>
          <t>https://parts.spearsmfg.com/sourcebook/SCH40TECH_40WHTPIPE-1_T_PVC40_T.pdf</t>
        </is>
      </c>
      <c r="S121" s="6" t="n"/>
      <c r="T121" s="7" t="inlineStr">
        <is>
          <t>Status OK</t>
        </is>
      </c>
      <c r="U121" s="6" t="inlineStr">
        <is>
          <t>09 Pool &amp; Water Features</t>
        </is>
      </c>
      <c r="V121" s="6" t="n">
        <v>33</v>
      </c>
      <c r="W121" s="9" t="n">
        <v>46272.71881330984</v>
      </c>
      <c r="X121" s="6" t="inlineStr">
        <is>
          <t>system</t>
        </is>
      </c>
      <c r="Y121" s="6" t="inlineStr">
        <is>
          <t>bd90b3e2-15fc-5426-840b-74c1e3d4e4d7</t>
        </is>
      </c>
    </row>
    <row r="122">
      <c r="A122" s="2" t="inlineStr">
        <is>
          <t>09</t>
        </is>
      </c>
      <c r="B122" s="2" t="inlineStr">
        <is>
          <t>Pool &amp; Water Features</t>
        </is>
      </c>
      <c r="C122" s="2" t="n">
        <v>121</v>
      </c>
      <c r="D122" s="3" t="inlineStr">
        <is>
          <t>Pool Piping &amp; Valves</t>
        </is>
      </c>
      <c r="E122" s="2" t="inlineStr">
        <is>
          <t>7 | G7</t>
        </is>
      </c>
      <c r="F122" s="2" t="n"/>
      <c r="G122" s="3" t="inlineStr">
        <is>
          <t>Fittings - elbows/tees/reducers/unions</t>
        </is>
      </c>
      <c r="H122" s="3" t="inlineStr">
        <is>
          <t>-</t>
        </is>
      </c>
      <c r="I122" s="2" t="n"/>
      <c r="J122" s="2" t="inlineStr">
        <is>
          <t>Sch 40 PVC</t>
        </is>
      </c>
      <c r="K122" s="2" t="n"/>
      <c r="L122" s="2" t="n"/>
      <c r="M122" s="2" t="inlineStr">
        <is>
          <t>lot</t>
        </is>
      </c>
      <c r="N122" s="2" t="inlineStr">
        <is>
          <t>G5</t>
        </is>
      </c>
      <c r="O122" s="2" t="inlineStr">
        <is>
          <t>complete</t>
        </is>
      </c>
      <c r="P122" s="2" t="inlineStr">
        <is>
          <t>not_started</t>
        </is>
      </c>
      <c r="Q122" s="2" t="inlineStr">
        <is>
          <t>not_started</t>
        </is>
      </c>
      <c r="R122" s="10" t="inlineStr">
        <is>
          <t>https://parts.spearsmfg.com/sourcebook/SCH40TECH_40WHTPIPE-1_T_PVC40_T.pdf</t>
        </is>
      </c>
      <c r="S122" s="2" t="n"/>
      <c r="T122" s="3" t="inlineStr">
        <is>
          <t>TBR - count from schematic</t>
        </is>
      </c>
      <c r="U122" s="2" t="inlineStr">
        <is>
          <t>09 Pool &amp; Water Features</t>
        </is>
      </c>
      <c r="V122" s="2" t="n">
        <v>34</v>
      </c>
      <c r="W122" s="5" t="n">
        <v>46272.71881330984</v>
      </c>
      <c r="X122" s="2" t="inlineStr">
        <is>
          <t>system</t>
        </is>
      </c>
      <c r="Y122" s="2" t="inlineStr">
        <is>
          <t>96471949-8eca-5347-b2ff-9d9a8ca32972</t>
        </is>
      </c>
    </row>
    <row r="123">
      <c r="A123" s="6" t="inlineStr">
        <is>
          <t>09</t>
        </is>
      </c>
      <c r="B123" s="6" t="inlineStr">
        <is>
          <t>Pool &amp; Water Features</t>
        </is>
      </c>
      <c r="C123" s="6" t="n">
        <v>122</v>
      </c>
      <c r="D123" s="7" t="inlineStr">
        <is>
          <t>Pool Piping &amp; Valves</t>
        </is>
      </c>
      <c r="E123" s="6" t="inlineStr">
        <is>
          <t>8 | G8</t>
        </is>
      </c>
      <c r="F123" s="6" t="n"/>
      <c r="G123" s="7" t="inlineStr">
        <is>
          <t>Make-up water pipe, 3/4 in Sch 40 PVC</t>
        </is>
      </c>
      <c r="H123" s="7" t="inlineStr">
        <is>
          <t>-</t>
        </is>
      </c>
      <c r="I123" s="6" t="n"/>
      <c r="J123" s="6" t="inlineStr">
        <is>
          <t>Sch 40 PVC</t>
        </is>
      </c>
      <c r="K123" s="6" t="n"/>
      <c r="L123" s="6" t="n"/>
      <c r="M123" s="6" t="inlineStr">
        <is>
          <t>run</t>
        </is>
      </c>
      <c r="N123" s="6" t="inlineStr">
        <is>
          <t>G5</t>
        </is>
      </c>
      <c r="O123" s="6" t="inlineStr">
        <is>
          <t>complete</t>
        </is>
      </c>
      <c r="P123" s="6" t="inlineStr">
        <is>
          <t>not_started</t>
        </is>
      </c>
      <c r="Q123" s="6" t="inlineStr">
        <is>
          <t>not_started</t>
        </is>
      </c>
      <c r="R123" s="10" t="inlineStr">
        <is>
          <t>https://parts.spearsmfg.com/sourcebook/SCH40TECH_40WHTPIPE-1_T_PVC40_T.pdf</t>
        </is>
      </c>
      <c r="S123" s="6" t="n"/>
      <c r="T123" s="7" t="inlineStr">
        <is>
          <t>refer plumbing for continuation</t>
        </is>
      </c>
      <c r="U123" s="6" t="inlineStr">
        <is>
          <t>09 Pool &amp; Water Features</t>
        </is>
      </c>
      <c r="V123" s="6" t="n">
        <v>35</v>
      </c>
      <c r="W123" s="9" t="n">
        <v>46272.71881330984</v>
      </c>
      <c r="X123" s="6" t="inlineStr">
        <is>
          <t>system</t>
        </is>
      </c>
      <c r="Y123" s="6" t="inlineStr">
        <is>
          <t>87c2c826-050a-55e0-90d2-c2f1583988c1</t>
        </is>
      </c>
    </row>
    <row r="124">
      <c r="A124" s="2" t="inlineStr">
        <is>
          <t>09</t>
        </is>
      </c>
      <c r="B124" s="2" t="inlineStr">
        <is>
          <t>Pool &amp; Water Features</t>
        </is>
      </c>
      <c r="C124" s="2" t="n">
        <v>123</v>
      </c>
      <c r="D124" s="3" t="inlineStr">
        <is>
          <t>Pool Pumps</t>
        </is>
      </c>
      <c r="E124" s="2" t="inlineStr">
        <is>
          <t>1 | A2</t>
        </is>
      </c>
      <c r="F124" s="2" t="n"/>
      <c r="G124" s="3" t="inlineStr">
        <is>
          <t>Main filter pump, variable speed, 45 GPM @ 70 ft, 3 HP, 208-230V</t>
        </is>
      </c>
      <c r="H124" s="3" t="inlineStr">
        <is>
          <t>Pump room</t>
        </is>
      </c>
      <c r="I124" s="2" t="inlineStr">
        <is>
          <t>Pentair</t>
        </is>
      </c>
      <c r="J124" s="2" t="inlineStr">
        <is>
          <t>IntelliFlo3 VSF</t>
        </is>
      </c>
      <c r="K124" s="4" t="n">
        <v>1</v>
      </c>
      <c r="L124" s="2" t="n"/>
      <c r="M124" s="2" t="inlineStr">
        <is>
          <t>no</t>
        </is>
      </c>
      <c r="N124" s="2" t="n"/>
      <c r="O124" s="2" t="inlineStr">
        <is>
          <t>complete</t>
        </is>
      </c>
      <c r="P124" s="2" t="inlineStr">
        <is>
          <t>not_started</t>
        </is>
      </c>
      <c r="Q124" s="2" t="inlineStr">
        <is>
          <t>not_started</t>
        </is>
      </c>
      <c r="R124" s="10" t="inlineStr">
        <is>
          <t>https://online.flippingbook.com/view/154564692/</t>
        </is>
      </c>
      <c r="S124" s="2" t="n"/>
      <c r="T124" s="3" t="inlineStr">
        <is>
          <t>SP-01 item 2. Status OK</t>
        </is>
      </c>
      <c r="U124" s="2" t="inlineStr">
        <is>
          <t>09 Pool &amp; Water Features</t>
        </is>
      </c>
      <c r="V124" s="2" t="n">
        <v>36</v>
      </c>
      <c r="W124" s="5" t="n">
        <v>46272.71881330984</v>
      </c>
      <c r="X124" s="2" t="inlineStr">
        <is>
          <t>system</t>
        </is>
      </c>
      <c r="Y124" s="2" t="inlineStr">
        <is>
          <t>7e05259f-f5dd-5eb5-8be9-756add984595</t>
        </is>
      </c>
    </row>
    <row r="125">
      <c r="A125" s="6" t="inlineStr">
        <is>
          <t>09</t>
        </is>
      </c>
      <c r="B125" s="6" t="inlineStr">
        <is>
          <t>Pool &amp; Water Features</t>
        </is>
      </c>
      <c r="C125" s="6" t="n">
        <v>124</v>
      </c>
      <c r="D125" s="7" t="inlineStr">
        <is>
          <t>Pool Pumps</t>
        </is>
      </c>
      <c r="E125" s="6" t="inlineStr">
        <is>
          <t>2 | A3</t>
        </is>
      </c>
      <c r="F125" s="6" t="n"/>
      <c r="G125" s="7" t="inlineStr">
        <is>
          <t>Infinity edge pump, variable speed, 90 GPM @ 50 ft, 3 HP</t>
        </is>
      </c>
      <c r="H125" s="7" t="inlineStr">
        <is>
          <t>Pump room</t>
        </is>
      </c>
      <c r="I125" s="6" t="inlineStr">
        <is>
          <t>Pentair</t>
        </is>
      </c>
      <c r="J125" s="6" t="inlineStr">
        <is>
          <t>IntelliFlo3 VSF</t>
        </is>
      </c>
      <c r="K125" s="8" t="n">
        <v>1</v>
      </c>
      <c r="L125" s="6" t="n"/>
      <c r="M125" s="6" t="inlineStr">
        <is>
          <t>no</t>
        </is>
      </c>
      <c r="N125" s="6" t="n"/>
      <c r="O125" s="6" t="inlineStr">
        <is>
          <t>complete</t>
        </is>
      </c>
      <c r="P125" s="6" t="inlineStr">
        <is>
          <t>not_started</t>
        </is>
      </c>
      <c r="Q125" s="6" t="inlineStr">
        <is>
          <t>not_started</t>
        </is>
      </c>
      <c r="R125" s="10" t="inlineStr">
        <is>
          <t>https://online.flippingbook.com/view/154564692/</t>
        </is>
      </c>
      <c r="S125" s="6" t="n"/>
      <c r="T125" s="7" t="inlineStr">
        <is>
          <t>SP-01 item 3. Status OK</t>
        </is>
      </c>
      <c r="U125" s="6" t="inlineStr">
        <is>
          <t>09 Pool &amp; Water Features</t>
        </is>
      </c>
      <c r="V125" s="6" t="n">
        <v>37</v>
      </c>
      <c r="W125" s="9" t="n">
        <v>46272.71881330984</v>
      </c>
      <c r="X125" s="6" t="inlineStr">
        <is>
          <t>system</t>
        </is>
      </c>
      <c r="Y125" s="6" t="inlineStr">
        <is>
          <t>ee717e78-83ae-5bda-893e-4613b1501467</t>
        </is>
      </c>
    </row>
    <row r="126">
      <c r="A126" s="2" t="inlineStr">
        <is>
          <t>09</t>
        </is>
      </c>
      <c r="B126" s="2" t="inlineStr">
        <is>
          <t>Pool &amp; Water Features</t>
        </is>
      </c>
      <c r="C126" s="2" t="n">
        <v>125</v>
      </c>
      <c r="D126" s="3" t="inlineStr">
        <is>
          <t>Sanitization &amp; Chlorination</t>
        </is>
      </c>
      <c r="E126" s="2" t="inlineStr">
        <is>
          <t>1 | A4</t>
        </is>
      </c>
      <c r="F126" s="2" t="n"/>
      <c r="G126" s="3" t="inlineStr">
        <is>
          <t>Salt chlorine generator, power bundle</t>
        </is>
      </c>
      <c r="H126" s="3" t="inlineStr">
        <is>
          <t>Pump room</t>
        </is>
      </c>
      <c r="I126" s="2" t="inlineStr">
        <is>
          <t>Pentair</t>
        </is>
      </c>
      <c r="J126" s="2" t="inlineStr">
        <is>
          <t>IntelliChlor LT25 (523750)</t>
        </is>
      </c>
      <c r="K126" s="4" t="n">
        <v>1</v>
      </c>
      <c r="L126" s="2" t="n"/>
      <c r="M126" s="2" t="inlineStr">
        <is>
          <t>set</t>
        </is>
      </c>
      <c r="N126" s="2" t="n"/>
      <c r="O126" s="2" t="inlineStr">
        <is>
          <t>complete</t>
        </is>
      </c>
      <c r="P126" s="2" t="inlineStr">
        <is>
          <t>not_started</t>
        </is>
      </c>
      <c r="Q126" s="2" t="inlineStr">
        <is>
          <t>not_started</t>
        </is>
      </c>
      <c r="R126" s="10" t="inlineStr">
        <is>
          <t>https://www.pentair.com/en-us/pool-spa/products/water-treatment/intellichlor-plus-lt-salt-chlorine-generators.html</t>
        </is>
      </c>
      <c r="S126" s="2" t="n"/>
      <c r="T126" s="3" t="inlineStr">
        <is>
          <t>SUB from AutoPilot DIG-220 (discontinued). R1</t>
        </is>
      </c>
      <c r="U126" s="2" t="inlineStr">
        <is>
          <t>09 Pool &amp; Water Features</t>
        </is>
      </c>
      <c r="V126" s="2" t="n">
        <v>38</v>
      </c>
      <c r="W126" s="5" t="n">
        <v>46272.71881330984</v>
      </c>
      <c r="X126" s="2" t="inlineStr">
        <is>
          <t>system</t>
        </is>
      </c>
      <c r="Y126" s="2" t="inlineStr">
        <is>
          <t>0e8b4d9d-c9dd-5092-bd0c-a5825cfba3ab</t>
        </is>
      </c>
    </row>
    <row r="127">
      <c r="A127" s="6" t="inlineStr">
        <is>
          <t>10</t>
        </is>
      </c>
      <c r="B127" s="6" t="inlineStr">
        <is>
          <t>Electrical</t>
        </is>
      </c>
      <c r="C127" s="6" t="n">
        <v>126</v>
      </c>
      <c r="D127" s="7" t="inlineStr">
        <is>
          <t>Feeders, Cable, Conduit &amp; Ground</t>
        </is>
      </c>
      <c r="E127" s="6" t="inlineStr">
        <is>
          <t>1</t>
        </is>
      </c>
      <c r="F127" s="6" t="n"/>
      <c r="G127" s="7" t="inlineStr">
        <is>
          <t>Feeders, branch cabling, conduit, containment, earthing</t>
        </is>
      </c>
      <c r="H127" s="7" t="n"/>
      <c r="I127" s="6" t="n"/>
      <c r="J127" s="6" t="n"/>
      <c r="K127" s="6" t="n"/>
      <c r="L127" s="6" t="n"/>
      <c r="M127" s="6" t="inlineStr">
        <is>
          <t>lot</t>
        </is>
      </c>
      <c r="N127" s="6" t="inlineStr">
        <is>
          <t>GP1-E4</t>
        </is>
      </c>
      <c r="O127" s="6" t="inlineStr">
        <is>
          <t>not_started</t>
        </is>
      </c>
      <c r="P127" s="6" t="inlineStr">
        <is>
          <t>not_started</t>
        </is>
      </c>
      <c r="Q127" s="6" t="inlineStr">
        <is>
          <t>not_started</t>
        </is>
      </c>
      <c r="R127" s="6" t="n"/>
      <c r="S127" s="6" t="n"/>
      <c r="T127" s="7" t="n"/>
      <c r="U127" s="6" t="inlineStr">
        <is>
          <t>10 Electrical</t>
        </is>
      </c>
      <c r="V127" s="6" t="n">
        <v>5</v>
      </c>
      <c r="W127" s="9" t="n">
        <v>46272.71881330984</v>
      </c>
      <c r="X127" s="6" t="inlineStr">
        <is>
          <t>system</t>
        </is>
      </c>
      <c r="Y127" s="6" t="inlineStr">
        <is>
          <t>f1b5a704-ab17-5f0c-bc3e-049f7491f00c</t>
        </is>
      </c>
    </row>
    <row r="128">
      <c r="A128" s="2" t="inlineStr">
        <is>
          <t>10</t>
        </is>
      </c>
      <c r="B128" s="2" t="inlineStr">
        <is>
          <t>Electrical</t>
        </is>
      </c>
      <c r="C128" s="2" t="n">
        <v>127</v>
      </c>
      <c r="D128" s="3" t="inlineStr">
        <is>
          <t>Feeders, Cable, Conduit &amp; Ground</t>
        </is>
      </c>
      <c r="E128" s="2" t="inlineStr">
        <is>
          <t>Cable</t>
        </is>
      </c>
      <c r="F128" s="2" t="n"/>
      <c r="G128" s="3" t="inlineStr">
        <is>
          <t>#2 AWG Cable Black (Copper)</t>
        </is>
      </c>
      <c r="H128" s="3" t="n"/>
      <c r="I128" s="2" t="inlineStr">
        <is>
          <t>N/A</t>
        </is>
      </c>
      <c r="J128" s="2" t="n"/>
      <c r="K128" s="2" t="n"/>
      <c r="L128" s="2" t="n"/>
      <c r="M128" s="2" t="inlineStr">
        <is>
          <t>FT</t>
        </is>
      </c>
      <c r="N128" s="2" t="inlineStr">
        <is>
          <t>GP1R-E4</t>
        </is>
      </c>
      <c r="O128" s="2" t="inlineStr">
        <is>
          <t>unknown</t>
        </is>
      </c>
      <c r="P128" s="2" t="inlineStr">
        <is>
          <t>not_started</t>
        </is>
      </c>
      <c r="Q128" s="2" t="inlineStr">
        <is>
          <t>not_started</t>
        </is>
      </c>
      <c r="R128" s="2" t="n"/>
      <c r="S128" s="2" t="n"/>
      <c r="T128" s="3" t="n"/>
      <c r="U128" s="2" t="inlineStr">
        <is>
          <t>10 Electrical</t>
        </is>
      </c>
      <c r="V128" s="2" t="n">
        <v>6</v>
      </c>
      <c r="W128" s="5" t="n">
        <v>46272.71881330984</v>
      </c>
      <c r="X128" s="2" t="inlineStr">
        <is>
          <t>system</t>
        </is>
      </c>
      <c r="Y128" s="2" t="inlineStr">
        <is>
          <t>08cf45ba-3985-5a8e-9c09-f2a1ad38cff6</t>
        </is>
      </c>
    </row>
    <row r="129">
      <c r="A129" s="6" t="inlineStr">
        <is>
          <t>10</t>
        </is>
      </c>
      <c r="B129" s="6" t="inlineStr">
        <is>
          <t>Electrical</t>
        </is>
      </c>
      <c r="C129" s="6" t="n">
        <v>128</v>
      </c>
      <c r="D129" s="7" t="inlineStr">
        <is>
          <t>Feeders, Cable, Conduit &amp; Ground</t>
        </is>
      </c>
      <c r="E129" s="6" t="inlineStr">
        <is>
          <t>Cable</t>
        </is>
      </c>
      <c r="F129" s="6" t="n"/>
      <c r="G129" s="7" t="inlineStr">
        <is>
          <t>#2 AWG Cable Red (Copper)</t>
        </is>
      </c>
      <c r="H129" s="7" t="n"/>
      <c r="I129" s="6" t="inlineStr">
        <is>
          <t>N/A</t>
        </is>
      </c>
      <c r="J129" s="6" t="n"/>
      <c r="K129" s="6" t="n"/>
      <c r="L129" s="6" t="n"/>
      <c r="M129" s="6" t="inlineStr">
        <is>
          <t>FT</t>
        </is>
      </c>
      <c r="N129" s="6" t="inlineStr">
        <is>
          <t>GP1R-E4</t>
        </is>
      </c>
      <c r="O129" s="6" t="inlineStr">
        <is>
          <t>unknown</t>
        </is>
      </c>
      <c r="P129" s="6" t="inlineStr">
        <is>
          <t>not_started</t>
        </is>
      </c>
      <c r="Q129" s="6" t="inlineStr">
        <is>
          <t>not_started</t>
        </is>
      </c>
      <c r="R129" s="6" t="n"/>
      <c r="S129" s="6" t="n"/>
      <c r="T129" s="7" t="n"/>
      <c r="U129" s="6" t="inlineStr">
        <is>
          <t>10 Electrical</t>
        </is>
      </c>
      <c r="V129" s="6" t="n">
        <v>7</v>
      </c>
      <c r="W129" s="9" t="n">
        <v>46272.71881330984</v>
      </c>
      <c r="X129" s="6" t="inlineStr">
        <is>
          <t>system</t>
        </is>
      </c>
      <c r="Y129" s="6" t="inlineStr">
        <is>
          <t>c3f9d611-e3a1-54fd-936a-e0ba37d8b7d3</t>
        </is>
      </c>
    </row>
    <row r="130">
      <c r="A130" s="2" t="inlineStr">
        <is>
          <t>10</t>
        </is>
      </c>
      <c r="B130" s="2" t="inlineStr">
        <is>
          <t>Electrical</t>
        </is>
      </c>
      <c r="C130" s="2" t="n">
        <v>129</v>
      </c>
      <c r="D130" s="3" t="inlineStr">
        <is>
          <t>Feeders, Cable, Conduit &amp; Ground</t>
        </is>
      </c>
      <c r="E130" s="2" t="inlineStr">
        <is>
          <t>Cable</t>
        </is>
      </c>
      <c r="F130" s="2" t="n"/>
      <c r="G130" s="3" t="inlineStr">
        <is>
          <t>#2 AWG Cable White (Copper)</t>
        </is>
      </c>
      <c r="H130" s="3" t="n"/>
      <c r="I130" s="2" t="inlineStr">
        <is>
          <t>N/A</t>
        </is>
      </c>
      <c r="J130" s="2" t="n"/>
      <c r="K130" s="2" t="n"/>
      <c r="L130" s="2" t="n"/>
      <c r="M130" s="2" t="inlineStr">
        <is>
          <t>FT</t>
        </is>
      </c>
      <c r="N130" s="2" t="inlineStr">
        <is>
          <t>GP1R-E4</t>
        </is>
      </c>
      <c r="O130" s="2" t="inlineStr">
        <is>
          <t>unknown</t>
        </is>
      </c>
      <c r="P130" s="2" t="inlineStr">
        <is>
          <t>not_started</t>
        </is>
      </c>
      <c r="Q130" s="2" t="inlineStr">
        <is>
          <t>not_started</t>
        </is>
      </c>
      <c r="R130" s="2" t="n"/>
      <c r="S130" s="2" t="n"/>
      <c r="T130" s="3" t="n"/>
      <c r="U130" s="2" t="inlineStr">
        <is>
          <t>10 Electrical</t>
        </is>
      </c>
      <c r="V130" s="2" t="n">
        <v>8</v>
      </c>
      <c r="W130" s="5" t="n">
        <v>46272.71881330984</v>
      </c>
      <c r="X130" s="2" t="inlineStr">
        <is>
          <t>system</t>
        </is>
      </c>
      <c r="Y130" s="2" t="inlineStr">
        <is>
          <t>8d233795-5908-5999-aa8c-9d67aa2b60f9</t>
        </is>
      </c>
    </row>
    <row r="131">
      <c r="A131" s="6" t="inlineStr">
        <is>
          <t>10</t>
        </is>
      </c>
      <c r="B131" s="6" t="inlineStr">
        <is>
          <t>Electrical</t>
        </is>
      </c>
      <c r="C131" s="6" t="n">
        <v>130</v>
      </c>
      <c r="D131" s="7" t="inlineStr">
        <is>
          <t>Feeders, Cable, Conduit &amp; Ground</t>
        </is>
      </c>
      <c r="E131" s="6" t="inlineStr">
        <is>
          <t>Cable</t>
        </is>
      </c>
      <c r="F131" s="6" t="n"/>
      <c r="G131" s="7" t="inlineStr">
        <is>
          <t>3/0 AWG Cable Black (Copper)</t>
        </is>
      </c>
      <c r="H131" s="7" t="n"/>
      <c r="I131" s="6" t="inlineStr">
        <is>
          <t>N/A</t>
        </is>
      </c>
      <c r="J131" s="6" t="n"/>
      <c r="K131" s="6" t="n"/>
      <c r="L131" s="6" t="n"/>
      <c r="M131" s="6" t="inlineStr">
        <is>
          <t>FT</t>
        </is>
      </c>
      <c r="N131" s="6" t="inlineStr">
        <is>
          <t>GP1R-E4</t>
        </is>
      </c>
      <c r="O131" s="6" t="inlineStr">
        <is>
          <t>unknown</t>
        </is>
      </c>
      <c r="P131" s="6" t="inlineStr">
        <is>
          <t>not_started</t>
        </is>
      </c>
      <c r="Q131" s="6" t="inlineStr">
        <is>
          <t>not_started</t>
        </is>
      </c>
      <c r="R131" s="6" t="n"/>
      <c r="S131" s="6" t="n"/>
      <c r="T131" s="7" t="n"/>
      <c r="U131" s="6" t="inlineStr">
        <is>
          <t>10 Electrical</t>
        </is>
      </c>
      <c r="V131" s="6" t="n">
        <v>9</v>
      </c>
      <c r="W131" s="9" t="n">
        <v>46272.71881330984</v>
      </c>
      <c r="X131" s="6" t="inlineStr">
        <is>
          <t>system</t>
        </is>
      </c>
      <c r="Y131" s="6" t="inlineStr">
        <is>
          <t>b861a516-aed3-5421-a687-1f8aecda9a0d</t>
        </is>
      </c>
    </row>
    <row r="132">
      <c r="A132" s="2" t="inlineStr">
        <is>
          <t>10</t>
        </is>
      </c>
      <c r="B132" s="2" t="inlineStr">
        <is>
          <t>Electrical</t>
        </is>
      </c>
      <c r="C132" s="2" t="n">
        <v>131</v>
      </c>
      <c r="D132" s="3" t="inlineStr">
        <is>
          <t>Feeders, Cable, Conduit &amp; Ground</t>
        </is>
      </c>
      <c r="E132" s="2" t="inlineStr">
        <is>
          <t>Cable</t>
        </is>
      </c>
      <c r="F132" s="2" t="n"/>
      <c r="G132" s="3" t="inlineStr">
        <is>
          <t>3/0 AWG Cable Red (Copper)</t>
        </is>
      </c>
      <c r="H132" s="3" t="n"/>
      <c r="I132" s="2" t="inlineStr">
        <is>
          <t>N/A</t>
        </is>
      </c>
      <c r="J132" s="2" t="n"/>
      <c r="K132" s="2" t="n"/>
      <c r="L132" s="2" t="n"/>
      <c r="M132" s="2" t="inlineStr">
        <is>
          <t>FT</t>
        </is>
      </c>
      <c r="N132" s="2" t="inlineStr">
        <is>
          <t>GP1R-E4</t>
        </is>
      </c>
      <c r="O132" s="2" t="inlineStr">
        <is>
          <t>unknown</t>
        </is>
      </c>
      <c r="P132" s="2" t="inlineStr">
        <is>
          <t>not_started</t>
        </is>
      </c>
      <c r="Q132" s="2" t="inlineStr">
        <is>
          <t>not_started</t>
        </is>
      </c>
      <c r="R132" s="2" t="n"/>
      <c r="S132" s="2" t="n"/>
      <c r="T132" s="3" t="n"/>
      <c r="U132" s="2" t="inlineStr">
        <is>
          <t>10 Electrical</t>
        </is>
      </c>
      <c r="V132" s="2" t="n">
        <v>10</v>
      </c>
      <c r="W132" s="5" t="n">
        <v>46272.71881330984</v>
      </c>
      <c r="X132" s="2" t="inlineStr">
        <is>
          <t>system</t>
        </is>
      </c>
      <c r="Y132" s="2" t="inlineStr">
        <is>
          <t>84ac6e87-7ca7-5e3d-9777-267477dc5c59</t>
        </is>
      </c>
    </row>
    <row r="133">
      <c r="A133" s="6" t="inlineStr">
        <is>
          <t>10</t>
        </is>
      </c>
      <c r="B133" s="6" t="inlineStr">
        <is>
          <t>Electrical</t>
        </is>
      </c>
      <c r="C133" s="6" t="n">
        <v>132</v>
      </c>
      <c r="D133" s="7" t="inlineStr">
        <is>
          <t>Feeders, Cable, Conduit &amp; Ground</t>
        </is>
      </c>
      <c r="E133" s="6" t="inlineStr">
        <is>
          <t>Cable</t>
        </is>
      </c>
      <c r="F133" s="6" t="n"/>
      <c r="G133" s="7" t="inlineStr">
        <is>
          <t>3/0 AWG Cable White (Copper)</t>
        </is>
      </c>
      <c r="H133" s="7" t="n"/>
      <c r="I133" s="6" t="inlineStr">
        <is>
          <t>N/A</t>
        </is>
      </c>
      <c r="J133" s="6" t="n"/>
      <c r="K133" s="6" t="n"/>
      <c r="L133" s="6" t="n"/>
      <c r="M133" s="6" t="inlineStr">
        <is>
          <t>FT</t>
        </is>
      </c>
      <c r="N133" s="6" t="inlineStr">
        <is>
          <t>GP1R-E4</t>
        </is>
      </c>
      <c r="O133" s="6" t="inlineStr">
        <is>
          <t>unknown</t>
        </is>
      </c>
      <c r="P133" s="6" t="inlineStr">
        <is>
          <t>not_started</t>
        </is>
      </c>
      <c r="Q133" s="6" t="inlineStr">
        <is>
          <t>not_started</t>
        </is>
      </c>
      <c r="R133" s="6" t="n"/>
      <c r="S133" s="6" t="n"/>
      <c r="T133" s="7" t="n"/>
      <c r="U133" s="6" t="inlineStr">
        <is>
          <t>10 Electrical</t>
        </is>
      </c>
      <c r="V133" s="6" t="n">
        <v>11</v>
      </c>
      <c r="W133" s="9" t="n">
        <v>46272.71881330984</v>
      </c>
      <c r="X133" s="6" t="inlineStr">
        <is>
          <t>system</t>
        </is>
      </c>
      <c r="Y133" s="6" t="inlineStr">
        <is>
          <t>7d43ced4-3956-5fec-b161-cbb04d1dba59</t>
        </is>
      </c>
    </row>
    <row r="134">
      <c r="A134" s="2" t="inlineStr">
        <is>
          <t>10</t>
        </is>
      </c>
      <c r="B134" s="2" t="inlineStr">
        <is>
          <t>Electrical</t>
        </is>
      </c>
      <c r="C134" s="2" t="n">
        <v>133</v>
      </c>
      <c r="D134" s="3" t="inlineStr">
        <is>
          <t>Feeders, Cable, Conduit &amp; Ground</t>
        </is>
      </c>
      <c r="E134" s="2" t="inlineStr">
        <is>
          <t>Cable</t>
        </is>
      </c>
      <c r="F134" s="2" t="n"/>
      <c r="G134" s="3" t="inlineStr">
        <is>
          <t>#6 AWG Cable Green (Copper)</t>
        </is>
      </c>
      <c r="H134" s="3" t="n"/>
      <c r="I134" s="2" t="inlineStr">
        <is>
          <t>N/A</t>
        </is>
      </c>
      <c r="J134" s="2" t="n"/>
      <c r="K134" s="2" t="n"/>
      <c r="L134" s="2" t="n"/>
      <c r="M134" s="2" t="inlineStr">
        <is>
          <t>FT</t>
        </is>
      </c>
      <c r="N134" s="2" t="inlineStr">
        <is>
          <t>GP1R-E4</t>
        </is>
      </c>
      <c r="O134" s="2" t="inlineStr">
        <is>
          <t>unknown</t>
        </is>
      </c>
      <c r="P134" s="2" t="inlineStr">
        <is>
          <t>not_started</t>
        </is>
      </c>
      <c r="Q134" s="2" t="inlineStr">
        <is>
          <t>not_started</t>
        </is>
      </c>
      <c r="R134" s="2" t="n"/>
      <c r="S134" s="2" t="n"/>
      <c r="T134" s="3" t="n"/>
      <c r="U134" s="2" t="inlineStr">
        <is>
          <t>10 Electrical</t>
        </is>
      </c>
      <c r="V134" s="2" t="n">
        <v>12</v>
      </c>
      <c r="W134" s="5" t="n">
        <v>46272.71881330984</v>
      </c>
      <c r="X134" s="2" t="inlineStr">
        <is>
          <t>system</t>
        </is>
      </c>
      <c r="Y134" s="2" t="inlineStr">
        <is>
          <t>7e2a6e35-03d9-5b42-bdc3-5c45264fa1ab</t>
        </is>
      </c>
    </row>
    <row r="135">
      <c r="A135" s="6" t="inlineStr">
        <is>
          <t>10</t>
        </is>
      </c>
      <c r="B135" s="6" t="inlineStr">
        <is>
          <t>Electrical</t>
        </is>
      </c>
      <c r="C135" s="6" t="n">
        <v>134</v>
      </c>
      <c r="D135" s="7" t="inlineStr">
        <is>
          <t>Feeders, Cable, Conduit &amp; Ground</t>
        </is>
      </c>
      <c r="E135" s="6" t="inlineStr">
        <is>
          <t>Cable</t>
        </is>
      </c>
      <c r="F135" s="6" t="n"/>
      <c r="G135" s="7" t="inlineStr">
        <is>
          <t>#8 AWG Cable Green (Copper)</t>
        </is>
      </c>
      <c r="H135" s="7" t="n"/>
      <c r="I135" s="6" t="inlineStr">
        <is>
          <t>N/A</t>
        </is>
      </c>
      <c r="J135" s="6" t="n"/>
      <c r="K135" s="6" t="n"/>
      <c r="L135" s="6" t="n"/>
      <c r="M135" s="6" t="inlineStr">
        <is>
          <t>FT</t>
        </is>
      </c>
      <c r="N135" s="6" t="inlineStr">
        <is>
          <t>GP1R-E4</t>
        </is>
      </c>
      <c r="O135" s="6" t="inlineStr">
        <is>
          <t>unknown</t>
        </is>
      </c>
      <c r="P135" s="6" t="inlineStr">
        <is>
          <t>not_started</t>
        </is>
      </c>
      <c r="Q135" s="6" t="inlineStr">
        <is>
          <t>not_started</t>
        </is>
      </c>
      <c r="R135" s="6" t="n"/>
      <c r="S135" s="6" t="n"/>
      <c r="T135" s="7" t="n"/>
      <c r="U135" s="6" t="inlineStr">
        <is>
          <t>10 Electrical</t>
        </is>
      </c>
      <c r="V135" s="6" t="n">
        <v>13</v>
      </c>
      <c r="W135" s="9" t="n">
        <v>46272.71881330984</v>
      </c>
      <c r="X135" s="6" t="inlineStr">
        <is>
          <t>system</t>
        </is>
      </c>
      <c r="Y135" s="6" t="inlineStr">
        <is>
          <t>d5affb6f-5b4f-52f8-a4ac-d686dbd562f7</t>
        </is>
      </c>
    </row>
    <row r="136">
      <c r="A136" s="2" t="inlineStr">
        <is>
          <t>10</t>
        </is>
      </c>
      <c r="B136" s="2" t="inlineStr">
        <is>
          <t>Electrical</t>
        </is>
      </c>
      <c r="C136" s="2" t="n">
        <v>135</v>
      </c>
      <c r="D136" s="3" t="inlineStr">
        <is>
          <t>Panelboards &amp; Distribution</t>
        </is>
      </c>
      <c r="E136" s="2" t="inlineStr">
        <is>
          <t>1 | MGP1</t>
        </is>
      </c>
      <c r="F136" s="2" t="n"/>
      <c r="G136" s="3" t="inlineStr">
        <is>
          <t>Main panelboard MGP1, 120/240V 1ph 3W, 225A bus, 175AT MB, 22kAIC, NEMA 3R</t>
        </is>
      </c>
      <c r="H136" s="3" t="inlineStr">
        <is>
          <t>MEP module</t>
        </is>
      </c>
      <c r="I136" s="2" t="inlineStr">
        <is>
          <t>Square D / Siemens or eq</t>
        </is>
      </c>
      <c r="J136" s="2" t="n"/>
      <c r="K136" s="4" t="n">
        <v>1</v>
      </c>
      <c r="L136" s="2" t="n"/>
      <c r="M136" s="2" t="inlineStr">
        <is>
          <t>no</t>
        </is>
      </c>
      <c r="N136" s="2" t="inlineStr">
        <is>
          <t>GP1-E5</t>
        </is>
      </c>
      <c r="O136" s="2" t="inlineStr">
        <is>
          <t>in_progress</t>
        </is>
      </c>
      <c r="P136" s="2" t="inlineStr">
        <is>
          <t>not_started</t>
        </is>
      </c>
      <c r="Q136" s="2" t="inlineStr">
        <is>
          <t>not_started</t>
        </is>
      </c>
      <c r="R136" s="2" t="n"/>
      <c r="S136" s="2" t="n"/>
      <c r="T136" s="3" t="inlineStr">
        <is>
          <t>44,065 VA connected / 184A</t>
        </is>
      </c>
      <c r="U136" s="2" t="inlineStr">
        <is>
          <t>10 Electrical</t>
        </is>
      </c>
      <c r="V136" s="2" t="n">
        <v>14</v>
      </c>
      <c r="W136" s="5" t="n">
        <v>46272.71894670274</v>
      </c>
      <c r="X136" s="2" t="inlineStr">
        <is>
          <t>system</t>
        </is>
      </c>
      <c r="Y136" s="2" t="inlineStr">
        <is>
          <t>682bb82f-f97b-5c44-a5c0-d4a0d6d33360</t>
        </is>
      </c>
    </row>
    <row r="137">
      <c r="A137" s="6" t="inlineStr">
        <is>
          <t>10</t>
        </is>
      </c>
      <c r="B137" s="6" t="inlineStr">
        <is>
          <t>Electrical</t>
        </is>
      </c>
      <c r="C137" s="6" t="n">
        <v>136</v>
      </c>
      <c r="D137" s="7" t="inlineStr">
        <is>
          <t>Panelboards &amp; Distribution</t>
        </is>
      </c>
      <c r="E137" s="6" t="inlineStr">
        <is>
          <t>2 | GP1</t>
        </is>
      </c>
      <c r="F137" s="6" t="n"/>
      <c r="G137" s="7" t="inlineStr">
        <is>
          <t>Sub-panel GP1, 150A bus, 80AT MB, 22kAIC, NEMA 1/2</t>
        </is>
      </c>
      <c r="H137" s="7" t="inlineStr">
        <is>
          <t>Guest Pavilion</t>
        </is>
      </c>
      <c r="I137" s="6" t="inlineStr">
        <is>
          <t>Square D / Siemens or eq</t>
        </is>
      </c>
      <c r="J137" s="6" t="n"/>
      <c r="K137" s="8" t="n">
        <v>1</v>
      </c>
      <c r="L137" s="6" t="n"/>
      <c r="M137" s="6" t="inlineStr">
        <is>
          <t>no</t>
        </is>
      </c>
      <c r="N137" s="6" t="inlineStr">
        <is>
          <t>GP1-E5</t>
        </is>
      </c>
      <c r="O137" s="6" t="inlineStr">
        <is>
          <t>in_progress</t>
        </is>
      </c>
      <c r="P137" s="6" t="inlineStr">
        <is>
          <t>not_started</t>
        </is>
      </c>
      <c r="Q137" s="6" t="inlineStr">
        <is>
          <t>not_started</t>
        </is>
      </c>
      <c r="R137" s="6" t="n"/>
      <c r="S137" s="6" t="n"/>
      <c r="T137" s="7" t="inlineStr">
        <is>
          <t>10,803 VA / 45A</t>
        </is>
      </c>
      <c r="U137" s="6" t="inlineStr">
        <is>
          <t>10 Electrical</t>
        </is>
      </c>
      <c r="V137" s="6" t="n">
        <v>15</v>
      </c>
      <c r="W137" s="9" t="n">
        <v>46272.71894670274</v>
      </c>
      <c r="X137" s="6" t="inlineStr">
        <is>
          <t>system</t>
        </is>
      </c>
      <c r="Y137" s="6" t="inlineStr">
        <is>
          <t>5d9b8eb6-5010-5153-b9a2-033dfdebfcec</t>
        </is>
      </c>
    </row>
    <row r="138">
      <c r="A138" s="2" t="inlineStr">
        <is>
          <t>10</t>
        </is>
      </c>
      <c r="B138" s="2" t="inlineStr">
        <is>
          <t>Electrical</t>
        </is>
      </c>
      <c r="C138" s="2" t="n">
        <v>137</v>
      </c>
      <c r="D138" s="3" t="inlineStr">
        <is>
          <t>Panelboards &amp; Distribution</t>
        </is>
      </c>
      <c r="E138" s="2" t="inlineStr">
        <is>
          <t>3</t>
        </is>
      </c>
      <c r="F138" s="2" t="n"/>
      <c r="G138" s="3" t="inlineStr">
        <is>
          <t>225A Meter Combo, 175A MCB, NEMA 3R, 120/240V, 1PH, 3W</t>
        </is>
      </c>
      <c r="H138" s="3" t="n"/>
      <c r="I138" s="2" t="n"/>
      <c r="J138" s="2" t="n"/>
      <c r="K138" s="2" t="n"/>
      <c r="L138" s="2" t="n"/>
      <c r="M138" s="2" t="n"/>
      <c r="N138" s="2" t="n"/>
      <c r="O138" s="2" t="inlineStr">
        <is>
          <t>unknown</t>
        </is>
      </c>
      <c r="P138" s="2" t="inlineStr">
        <is>
          <t>not_started</t>
        </is>
      </c>
      <c r="Q138" s="2" t="inlineStr">
        <is>
          <t>not_started</t>
        </is>
      </c>
      <c r="R138" s="2" t="n"/>
      <c r="S138" s="2" t="n"/>
      <c r="T138" s="3" t="n"/>
      <c r="U138" s="2" t="inlineStr">
        <is>
          <t>10 Electrical</t>
        </is>
      </c>
      <c r="V138" s="2" t="n">
        <v>16</v>
      </c>
      <c r="W138" s="5" t="n">
        <v>46272.71894670274</v>
      </c>
      <c r="X138" s="2" t="inlineStr">
        <is>
          <t>system</t>
        </is>
      </c>
      <c r="Y138" s="2" t="inlineStr">
        <is>
          <t>6e500765-2709-5b62-be77-667ae211f41c</t>
        </is>
      </c>
    </row>
    <row r="139">
      <c r="A139" s="6" t="inlineStr">
        <is>
          <t>10</t>
        </is>
      </c>
      <c r="B139" s="6" t="inlineStr">
        <is>
          <t>Electrical</t>
        </is>
      </c>
      <c r="C139" s="6" t="n">
        <v>138</v>
      </c>
      <c r="D139" s="7" t="inlineStr">
        <is>
          <t>Panelboards &amp; Distribution</t>
        </is>
      </c>
      <c r="E139" s="6" t="inlineStr">
        <is>
          <t>4 | GP1</t>
        </is>
      </c>
      <c r="F139" s="6" t="n"/>
      <c r="G139" s="7" t="inlineStr">
        <is>
          <t>SPD, 160KA Surge Current Rating, Multimode Protection, 80KA Per Mode, Service Entrance MCOV= 140V To 150V RMS Voltage Nominal= 240/120V, 1PH, 3W, UL Listed, Side Mounted, NEMA 3R</t>
        </is>
      </c>
      <c r="H139" s="7" t="inlineStr">
        <is>
          <t>MEP Module</t>
        </is>
      </c>
      <c r="I139" s="6" t="n"/>
      <c r="J139" s="6" t="n"/>
      <c r="K139" s="8" t="n">
        <v>1</v>
      </c>
      <c r="L139" s="6" t="n"/>
      <c r="M139" s="6" t="inlineStr">
        <is>
          <t>no</t>
        </is>
      </c>
      <c r="N139" s="6" t="inlineStr">
        <is>
          <t>GP1-E5</t>
        </is>
      </c>
      <c r="O139" s="6" t="inlineStr">
        <is>
          <t>unknown</t>
        </is>
      </c>
      <c r="P139" s="6" t="inlineStr">
        <is>
          <t>not_started</t>
        </is>
      </c>
      <c r="Q139" s="6" t="inlineStr">
        <is>
          <t>not_started</t>
        </is>
      </c>
      <c r="R139" s="6" t="n"/>
      <c r="S139" s="6" t="n"/>
      <c r="T139" s="7" t="n"/>
      <c r="U139" s="6" t="inlineStr">
        <is>
          <t>10 Electrical</t>
        </is>
      </c>
      <c r="V139" s="6" t="n">
        <v>17</v>
      </c>
      <c r="W139" s="9" t="n">
        <v>46272.71894670274</v>
      </c>
      <c r="X139" s="6" t="inlineStr">
        <is>
          <t>system</t>
        </is>
      </c>
      <c r="Y139" s="6" t="inlineStr">
        <is>
          <t>f4306b9b-982f-5a17-8839-7397ae40763d</t>
        </is>
      </c>
    </row>
    <row r="140">
      <c r="A140" s="2" t="inlineStr">
        <is>
          <t>10</t>
        </is>
      </c>
      <c r="B140" s="2" t="inlineStr">
        <is>
          <t>Electrical</t>
        </is>
      </c>
      <c r="C140" s="2" t="n">
        <v>139</v>
      </c>
      <c r="D140" s="3" t="inlineStr">
        <is>
          <t>Wiring Devices &amp; Power</t>
        </is>
      </c>
      <c r="E140" s="2" t="inlineStr">
        <is>
          <t>1</t>
        </is>
      </c>
      <c r="F140" s="2" t="n"/>
      <c r="G140" s="3" t="inlineStr">
        <is>
          <t>Wiring devices - switches, outlets, cover plates (general)</t>
        </is>
      </c>
      <c r="H140" s="3" t="inlineStr">
        <is>
          <t>Guestroom</t>
        </is>
      </c>
      <c r="I140" s="2" t="n"/>
      <c r="J140" s="2" t="n"/>
      <c r="K140" s="2" t="n"/>
      <c r="L140" s="2" t="n"/>
      <c r="M140" s="2" t="inlineStr">
        <is>
          <t>lot</t>
        </is>
      </c>
      <c r="N140" s="2" t="inlineStr">
        <is>
          <t>GP1-E2</t>
        </is>
      </c>
      <c r="O140" s="2" t="inlineStr">
        <is>
          <t>not_started</t>
        </is>
      </c>
      <c r="P140" s="2" t="inlineStr">
        <is>
          <t>not_started</t>
        </is>
      </c>
      <c r="Q140" s="2" t="inlineStr">
        <is>
          <t>not_started</t>
        </is>
      </c>
      <c r="R140" s="2" t="n"/>
      <c r="S140" s="2" t="n"/>
      <c r="T140" s="3" t="inlineStr">
        <is>
          <t>Lutron receptacles/faceplates tracked in Lighting (LTG-04)</t>
        </is>
      </c>
      <c r="U140" s="2" t="inlineStr">
        <is>
          <t>10 Electrical</t>
        </is>
      </c>
      <c r="V140" s="2" t="n">
        <v>18</v>
      </c>
      <c r="W140" s="5" t="n">
        <v>46272.71894670274</v>
      </c>
      <c r="X140" s="2" t="inlineStr">
        <is>
          <t>system</t>
        </is>
      </c>
      <c r="Y140" s="2" t="inlineStr">
        <is>
          <t>9f87cc06-f48f-55ab-bd27-c5e04facf0dc</t>
        </is>
      </c>
    </row>
    <row r="141">
      <c r="A141" s="6" t="inlineStr">
        <is>
          <t>11</t>
        </is>
      </c>
      <c r="B141" s="6" t="inlineStr">
        <is>
          <t>Low Voltage &amp; ICT</t>
        </is>
      </c>
      <c r="C141" s="6" t="n">
        <v>140</v>
      </c>
      <c r="D141" s="7" t="inlineStr">
        <is>
          <t>Telephone, CATV, IT &amp; Data</t>
        </is>
      </c>
      <c r="E141" s="6" t="inlineStr">
        <is>
          <t>1</t>
        </is>
      </c>
      <c r="F141" s="6" t="n"/>
      <c r="G141" s="7" t="inlineStr">
        <is>
          <t>Structured cabling / outlets / risers - telephone, CATV, IT / data</t>
        </is>
      </c>
      <c r="H141" s="7" t="inlineStr">
        <is>
          <t>Guestroom</t>
        </is>
      </c>
      <c r="I141" s="6" t="n"/>
      <c r="J141" s="6" t="n"/>
      <c r="K141" s="6" t="n"/>
      <c r="L141" s="6" t="n"/>
      <c r="M141" s="6" t="inlineStr">
        <is>
          <t>lot</t>
        </is>
      </c>
      <c r="N141" s="6" t="inlineStr">
        <is>
          <t>GP1-E6</t>
        </is>
      </c>
      <c r="O141" s="6" t="inlineStr">
        <is>
          <t>not_started</t>
        </is>
      </c>
      <c r="P141" s="6" t="inlineStr">
        <is>
          <t>not_started</t>
        </is>
      </c>
      <c r="Q141" s="6" t="inlineStr">
        <is>
          <t>not_started</t>
        </is>
      </c>
      <c r="R141" s="6" t="n"/>
      <c r="S141" s="6" t="n"/>
      <c r="T141" s="7" t="n"/>
      <c r="U141" s="6" t="inlineStr">
        <is>
          <t>11 Low Voltage &amp; ICT</t>
        </is>
      </c>
      <c r="V141" s="6" t="n">
        <v>5</v>
      </c>
      <c r="W141" s="9" t="n">
        <v>46272.71894670274</v>
      </c>
      <c r="X141" s="6" t="inlineStr">
        <is>
          <t>system</t>
        </is>
      </c>
      <c r="Y141" s="6" t="inlineStr">
        <is>
          <t>2a263eb7-b013-5fc7-be65-ad3283a778a8</t>
        </is>
      </c>
    </row>
    <row r="142">
      <c r="A142" s="2" t="inlineStr">
        <is>
          <t>12</t>
        </is>
      </c>
      <c r="B142" s="2" t="inlineStr">
        <is>
          <t>Lighting</t>
        </is>
      </c>
      <c r="C142" s="2" t="n">
        <v>141</v>
      </c>
      <c r="D142" s="3" t="inlineStr">
        <is>
          <t>Architectural Luminaires</t>
        </is>
      </c>
      <c r="E142" s="2" t="inlineStr">
        <is>
          <t>1 | L01</t>
        </is>
      </c>
      <c r="F142" s="2" t="n"/>
      <c r="G142" s="3" t="inlineStr">
        <is>
          <t>Recessed downlight, 14 deg</t>
        </is>
      </c>
      <c r="H142" s="3" t="inlineStr">
        <is>
          <t>Interior ceilings</t>
        </is>
      </c>
      <c r="I142" s="2" t="n"/>
      <c r="J142" s="2" t="n"/>
      <c r="K142" s="4" t="n">
        <v>13</v>
      </c>
      <c r="L142" s="2" t="n"/>
      <c r="M142" s="2" t="inlineStr">
        <is>
          <t>pc</t>
        </is>
      </c>
      <c r="N142" s="2" t="inlineStr">
        <is>
          <t>Luminaire Sched</t>
        </is>
      </c>
      <c r="O142" s="2" t="inlineStr">
        <is>
          <t>in_progress</t>
        </is>
      </c>
      <c r="P142" s="2" t="inlineStr">
        <is>
          <t>not_started</t>
        </is>
      </c>
      <c r="Q142" s="2" t="inlineStr">
        <is>
          <t>not_started</t>
        </is>
      </c>
      <c r="R142" s="2" t="n"/>
      <c r="S142" s="2" t="n"/>
      <c r="T142" s="3" t="n"/>
      <c r="U142" s="2" t="inlineStr">
        <is>
          <t>12 Lighting</t>
        </is>
      </c>
      <c r="V142" s="2" t="n">
        <v>5</v>
      </c>
      <c r="W142" s="5" t="n">
        <v>46272.71894670274</v>
      </c>
      <c r="X142" s="2" t="inlineStr">
        <is>
          <t>system</t>
        </is>
      </c>
      <c r="Y142" s="2" t="inlineStr">
        <is>
          <t>624cb7b2-2323-505d-ac62-1a5ea7665c73</t>
        </is>
      </c>
    </row>
    <row r="143">
      <c r="A143" s="6" t="inlineStr">
        <is>
          <t>12</t>
        </is>
      </c>
      <c r="B143" s="6" t="inlineStr">
        <is>
          <t>Lighting</t>
        </is>
      </c>
      <c r="C143" s="6" t="n">
        <v>142</v>
      </c>
      <c r="D143" s="7" t="inlineStr">
        <is>
          <t>Architectural Luminaires</t>
        </is>
      </c>
      <c r="E143" s="6" t="inlineStr">
        <is>
          <t>2 | L02</t>
        </is>
      </c>
      <c r="F143" s="6" t="n"/>
      <c r="G143" s="7" t="inlineStr">
        <is>
          <t>Recessed downlight, 26 deg</t>
        </is>
      </c>
      <c r="H143" s="7" t="inlineStr">
        <is>
          <t>Interior ceilings</t>
        </is>
      </c>
      <c r="I143" s="6" t="n"/>
      <c r="J143" s="6" t="n"/>
      <c r="K143" s="8" t="n">
        <v>12</v>
      </c>
      <c r="L143" s="6" t="n"/>
      <c r="M143" s="6" t="inlineStr">
        <is>
          <t>pc</t>
        </is>
      </c>
      <c r="N143" s="6" t="inlineStr">
        <is>
          <t>Luminaire Sched</t>
        </is>
      </c>
      <c r="O143" s="6" t="inlineStr">
        <is>
          <t>in_progress</t>
        </is>
      </c>
      <c r="P143" s="6" t="inlineStr">
        <is>
          <t>not_started</t>
        </is>
      </c>
      <c r="Q143" s="6" t="inlineStr">
        <is>
          <t>not_started</t>
        </is>
      </c>
      <c r="R143" s="6" t="n"/>
      <c r="S143" s="6" t="n"/>
      <c r="T143" s="7" t="n"/>
      <c r="U143" s="6" t="inlineStr">
        <is>
          <t>12 Lighting</t>
        </is>
      </c>
      <c r="V143" s="6" t="n">
        <v>6</v>
      </c>
      <c r="W143" s="9" t="n">
        <v>46272.71894670274</v>
      </c>
      <c r="X143" s="6" t="inlineStr">
        <is>
          <t>system</t>
        </is>
      </c>
      <c r="Y143" s="6" t="inlineStr">
        <is>
          <t>f22b9b22-b1f0-57ae-8499-5a4cd8b60173</t>
        </is>
      </c>
    </row>
    <row r="144">
      <c r="A144" s="2" t="inlineStr">
        <is>
          <t>12</t>
        </is>
      </c>
      <c r="B144" s="2" t="inlineStr">
        <is>
          <t>Lighting</t>
        </is>
      </c>
      <c r="C144" s="2" t="n">
        <v>143</v>
      </c>
      <c r="D144" s="3" t="inlineStr">
        <is>
          <t>Architectural Luminaires</t>
        </is>
      </c>
      <c r="E144" s="2" t="inlineStr">
        <is>
          <t>3 | L02.1</t>
        </is>
      </c>
      <c r="F144" s="2" t="n"/>
      <c r="G144" s="3" t="inlineStr">
        <is>
          <t>Recessed projector, 24 deg (accent)</t>
        </is>
      </c>
      <c r="H144" s="3" t="inlineStr">
        <is>
          <t>Interior ceilings</t>
        </is>
      </c>
      <c r="I144" s="2" t="n"/>
      <c r="J144" s="2" t="n"/>
      <c r="K144" s="4" t="n">
        <v>4</v>
      </c>
      <c r="L144" s="2" t="n"/>
      <c r="M144" s="2" t="inlineStr">
        <is>
          <t>pc</t>
        </is>
      </c>
      <c r="N144" s="2" t="inlineStr">
        <is>
          <t>Luminaire Sched</t>
        </is>
      </c>
      <c r="O144" s="2" t="inlineStr">
        <is>
          <t>in_progress</t>
        </is>
      </c>
      <c r="P144" s="2" t="inlineStr">
        <is>
          <t>not_started</t>
        </is>
      </c>
      <c r="Q144" s="2" t="inlineStr">
        <is>
          <t>not_started</t>
        </is>
      </c>
      <c r="R144" s="2" t="n"/>
      <c r="S144" s="2" t="n"/>
      <c r="T144" s="3" t="n"/>
      <c r="U144" s="2" t="inlineStr">
        <is>
          <t>12 Lighting</t>
        </is>
      </c>
      <c r="V144" s="2" t="n">
        <v>7</v>
      </c>
      <c r="W144" s="5" t="n">
        <v>46272.71894670274</v>
      </c>
      <c r="X144" s="2" t="inlineStr">
        <is>
          <t>system</t>
        </is>
      </c>
      <c r="Y144" s="2" t="inlineStr">
        <is>
          <t>ad0f494a-7e11-53f3-bb7a-b22cac149ac7</t>
        </is>
      </c>
    </row>
    <row r="145">
      <c r="A145" s="6" t="inlineStr">
        <is>
          <t>12</t>
        </is>
      </c>
      <c r="B145" s="6" t="inlineStr">
        <is>
          <t>Lighting</t>
        </is>
      </c>
      <c r="C145" s="6" t="n">
        <v>144</v>
      </c>
      <c r="D145" s="7" t="inlineStr">
        <is>
          <t>Architectural Luminaires</t>
        </is>
      </c>
      <c r="E145" s="6" t="inlineStr">
        <is>
          <t>4 | L07</t>
        </is>
      </c>
      <c r="F145" s="6" t="n"/>
      <c r="G145" s="7" t="inlineStr">
        <is>
          <t>Wall niche / step light</t>
        </is>
      </c>
      <c r="H145" s="7" t="inlineStr">
        <is>
          <t>Stair / niche</t>
        </is>
      </c>
      <c r="I145" s="6" t="n"/>
      <c r="J145" s="6" t="n"/>
      <c r="K145" s="8" t="n">
        <v>4</v>
      </c>
      <c r="L145" s="6" t="n"/>
      <c r="M145" s="6" t="inlineStr">
        <is>
          <t>pc</t>
        </is>
      </c>
      <c r="N145" s="6" t="inlineStr">
        <is>
          <t>Luminaire Sched</t>
        </is>
      </c>
      <c r="O145" s="6" t="inlineStr">
        <is>
          <t>in_progress</t>
        </is>
      </c>
      <c r="P145" s="6" t="inlineStr">
        <is>
          <t>not_started</t>
        </is>
      </c>
      <c r="Q145" s="6" t="inlineStr">
        <is>
          <t>not_started</t>
        </is>
      </c>
      <c r="R145" s="6" t="n"/>
      <c r="S145" s="6" t="n"/>
      <c r="T145" s="7" t="n"/>
      <c r="U145" s="6" t="inlineStr">
        <is>
          <t>12 Lighting</t>
        </is>
      </c>
      <c r="V145" s="6" t="n">
        <v>8</v>
      </c>
      <c r="W145" s="9" t="n">
        <v>46272.71894670274</v>
      </c>
      <c r="X145" s="6" t="inlineStr">
        <is>
          <t>system</t>
        </is>
      </c>
      <c r="Y145" s="6" t="inlineStr">
        <is>
          <t>bafb515b-a3e7-5f38-8fa7-f0a3de380081</t>
        </is>
      </c>
    </row>
    <row r="146">
      <c r="A146" s="2" t="inlineStr">
        <is>
          <t>12</t>
        </is>
      </c>
      <c r="B146" s="2" t="inlineStr">
        <is>
          <t>Lighting</t>
        </is>
      </c>
      <c r="C146" s="2" t="n">
        <v>145</v>
      </c>
      <c r="D146" s="3" t="inlineStr">
        <is>
          <t>Architectural Luminaires</t>
        </is>
      </c>
      <c r="E146" s="2" t="inlineStr">
        <is>
          <t>5 | L06.1</t>
        </is>
      </c>
      <c r="F146" s="2" t="n"/>
      <c r="G146" s="3" t="inlineStr">
        <is>
          <t>Integrated mini-downlight (closet/vanity/minibar)</t>
        </is>
      </c>
      <c r="H146" s="3" t="inlineStr">
        <is>
          <t>Furniture</t>
        </is>
      </c>
      <c r="I146" s="2" t="n"/>
      <c r="J146" s="2" t="n"/>
      <c r="K146" s="4" t="n">
        <v>16</v>
      </c>
      <c r="L146" s="2" t="n"/>
      <c r="M146" s="2" t="inlineStr">
        <is>
          <t>pc</t>
        </is>
      </c>
      <c r="N146" s="2" t="inlineStr">
        <is>
          <t>Luminaire Sched</t>
        </is>
      </c>
      <c r="O146" s="2" t="inlineStr">
        <is>
          <t>in_progress</t>
        </is>
      </c>
      <c r="P146" s="2" t="inlineStr">
        <is>
          <t>not_started</t>
        </is>
      </c>
      <c r="Q146" s="2" t="inlineStr">
        <is>
          <t>not_started</t>
        </is>
      </c>
      <c r="R146" s="2" t="n"/>
      <c r="S146" s="2" t="n"/>
      <c r="T146" s="3" t="n"/>
      <c r="U146" s="2" t="inlineStr">
        <is>
          <t>12 Lighting</t>
        </is>
      </c>
      <c r="V146" s="2" t="n">
        <v>9</v>
      </c>
      <c r="W146" s="5" t="n">
        <v>46272.71894670274</v>
      </c>
      <c r="X146" s="2" t="inlineStr">
        <is>
          <t>system</t>
        </is>
      </c>
      <c r="Y146" s="2" t="inlineStr">
        <is>
          <t>d4fea271-8479-571a-a920-25dbbff5b7e9</t>
        </is>
      </c>
    </row>
    <row r="147">
      <c r="A147" s="6" t="inlineStr">
        <is>
          <t>12</t>
        </is>
      </c>
      <c r="B147" s="6" t="inlineStr">
        <is>
          <t>Lighting</t>
        </is>
      </c>
      <c r="C147" s="6" t="n">
        <v>146</v>
      </c>
      <c r="D147" s="7" t="inlineStr">
        <is>
          <t>Architectural Luminaires</t>
        </is>
      </c>
      <c r="E147" s="6" t="inlineStr">
        <is>
          <t>6 | L12</t>
        </is>
      </c>
      <c r="F147" s="6" t="n"/>
      <c r="G147" s="7" t="inlineStr">
        <is>
          <t>Surface-mounted service downlight</t>
        </is>
      </c>
      <c r="H147" s="7" t="inlineStr">
        <is>
          <t>Service / BOH</t>
        </is>
      </c>
      <c r="I147" s="6" t="n"/>
      <c r="J147" s="6" t="n"/>
      <c r="K147" s="8" t="n">
        <v>1</v>
      </c>
      <c r="L147" s="6" t="n"/>
      <c r="M147" s="6" t="inlineStr">
        <is>
          <t>pc</t>
        </is>
      </c>
      <c r="N147" s="6" t="inlineStr">
        <is>
          <t>Luminaire Sched</t>
        </is>
      </c>
      <c r="O147" s="6" t="inlineStr">
        <is>
          <t>in_progress</t>
        </is>
      </c>
      <c r="P147" s="6" t="inlineStr">
        <is>
          <t>not_started</t>
        </is>
      </c>
      <c r="Q147" s="6" t="inlineStr">
        <is>
          <t>not_started</t>
        </is>
      </c>
      <c r="R147" s="6" t="n"/>
      <c r="S147" s="6" t="n"/>
      <c r="T147" s="7" t="n"/>
      <c r="U147" s="6" t="inlineStr">
        <is>
          <t>12 Lighting</t>
        </is>
      </c>
      <c r="V147" s="6" t="n">
        <v>10</v>
      </c>
      <c r="W147" s="9" t="n">
        <v>46272.71894670274</v>
      </c>
      <c r="X147" s="6" t="inlineStr">
        <is>
          <t>system</t>
        </is>
      </c>
      <c r="Y147" s="6" t="inlineStr">
        <is>
          <t>bbe0ffb2-24d1-576c-aa2f-0359e9536f36</t>
        </is>
      </c>
    </row>
    <row r="148">
      <c r="A148" s="2" t="inlineStr">
        <is>
          <t>12</t>
        </is>
      </c>
      <c r="B148" s="2" t="inlineStr">
        <is>
          <t>Lighting</t>
        </is>
      </c>
      <c r="C148" s="2" t="n">
        <v>147</v>
      </c>
      <c r="D148" s="3" t="inlineStr">
        <is>
          <t>Decorative Fixtures</t>
        </is>
      </c>
      <c r="E148" s="2" t="inlineStr">
        <is>
          <t>1 | D01</t>
        </is>
      </c>
      <c r="F148" s="2" t="n"/>
      <c r="G148" s="3" t="inlineStr">
        <is>
          <t>Sconce (Ella OUT 1.0)</t>
        </is>
      </c>
      <c r="H148" s="3" t="inlineStr">
        <is>
          <t>Exterior wall</t>
        </is>
      </c>
      <c r="I148" s="2" t="n"/>
      <c r="J148" s="2" t="inlineStr">
        <is>
          <t>Ella OUT 1.0</t>
        </is>
      </c>
      <c r="K148" s="4" t="n">
        <v>1</v>
      </c>
      <c r="L148" s="2" t="n"/>
      <c r="M148" s="2" t="inlineStr">
        <is>
          <t>pc</t>
        </is>
      </c>
      <c r="N148" s="2" t="inlineStr">
        <is>
          <t>Luminaire Sched</t>
        </is>
      </c>
      <c r="O148" s="2" t="inlineStr">
        <is>
          <t>in_progress</t>
        </is>
      </c>
      <c r="P148" s="2" t="inlineStr">
        <is>
          <t>not_started</t>
        </is>
      </c>
      <c r="Q148" s="2" t="inlineStr">
        <is>
          <t>not_started</t>
        </is>
      </c>
      <c r="R148" s="2" t="n"/>
      <c r="S148" s="2" t="n"/>
      <c r="T148" s="3" t="n"/>
      <c r="U148" s="2" t="inlineStr">
        <is>
          <t>12 Lighting</t>
        </is>
      </c>
      <c r="V148" s="2" t="n">
        <v>11</v>
      </c>
      <c r="W148" s="5" t="n">
        <v>46272.71894670274</v>
      </c>
      <c r="X148" s="2" t="inlineStr">
        <is>
          <t>system</t>
        </is>
      </c>
      <c r="Y148" s="2" t="inlineStr">
        <is>
          <t>ef3fb6de-6ff2-5d62-9e70-4ad1d06c1a68</t>
        </is>
      </c>
    </row>
    <row r="149">
      <c r="A149" s="6" t="inlineStr">
        <is>
          <t>12</t>
        </is>
      </c>
      <c r="B149" s="6" t="inlineStr">
        <is>
          <t>Lighting</t>
        </is>
      </c>
      <c r="C149" s="6" t="n">
        <v>148</v>
      </c>
      <c r="D149" s="7" t="inlineStr">
        <is>
          <t>Decorative Fixtures</t>
        </is>
      </c>
      <c r="E149" s="6" t="inlineStr">
        <is>
          <t>2 | D01.2</t>
        </is>
      </c>
      <c r="F149" s="6" t="n"/>
      <c r="G149" s="7" t="inlineStr">
        <is>
          <t>Sconce + reading light</t>
        </is>
      </c>
      <c r="H149" s="7" t="inlineStr">
        <is>
          <t>Bedroom (reading)</t>
        </is>
      </c>
      <c r="I149" s="6" t="n"/>
      <c r="J149" s="6" t="n"/>
      <c r="K149" s="8" t="n">
        <v>2</v>
      </c>
      <c r="L149" s="6" t="n"/>
      <c r="M149" s="6" t="inlineStr">
        <is>
          <t>pc</t>
        </is>
      </c>
      <c r="N149" s="6" t="inlineStr">
        <is>
          <t>Luminaire Sched</t>
        </is>
      </c>
      <c r="O149" s="6" t="inlineStr">
        <is>
          <t>in_progress</t>
        </is>
      </c>
      <c r="P149" s="6" t="inlineStr">
        <is>
          <t>not_started</t>
        </is>
      </c>
      <c r="Q149" s="6" t="inlineStr">
        <is>
          <t>not_started</t>
        </is>
      </c>
      <c r="R149" s="6" t="n"/>
      <c r="S149" s="6" t="n"/>
      <c r="T149" s="7" t="n"/>
      <c r="U149" s="6" t="inlineStr">
        <is>
          <t>12 Lighting</t>
        </is>
      </c>
      <c r="V149" s="6" t="n">
        <v>12</v>
      </c>
      <c r="W149" s="9" t="n">
        <v>46272.71894670274</v>
      </c>
      <c r="X149" s="6" t="inlineStr">
        <is>
          <t>system</t>
        </is>
      </c>
      <c r="Y149" s="6" t="inlineStr">
        <is>
          <t>96f3e37c-e74d-5cda-a7d0-684759f8ae49</t>
        </is>
      </c>
    </row>
    <row r="150">
      <c r="A150" s="2" t="inlineStr">
        <is>
          <t>12</t>
        </is>
      </c>
      <c r="B150" s="2" t="inlineStr">
        <is>
          <t>Lighting</t>
        </is>
      </c>
      <c r="C150" s="2" t="n">
        <v>149</v>
      </c>
      <c r="D150" s="3" t="inlineStr">
        <is>
          <t>Decorative Fixtures</t>
        </is>
      </c>
      <c r="E150" s="2" t="inlineStr">
        <is>
          <t>3 | D01.3</t>
        </is>
      </c>
      <c r="F150" s="2" t="n"/>
      <c r="G150" s="3" t="inlineStr">
        <is>
          <t>Indirect wall lamp (Foil)</t>
        </is>
      </c>
      <c r="H150" s="3" t="inlineStr">
        <is>
          <t>Interior wall</t>
        </is>
      </c>
      <c r="I150" s="2" t="n"/>
      <c r="J150" s="2" t="inlineStr">
        <is>
          <t>Foil</t>
        </is>
      </c>
      <c r="K150" s="4" t="n">
        <v>2</v>
      </c>
      <c r="L150" s="2" t="n"/>
      <c r="M150" s="2" t="inlineStr">
        <is>
          <t>pc</t>
        </is>
      </c>
      <c r="N150" s="2" t="inlineStr">
        <is>
          <t>Luminaire Sched</t>
        </is>
      </c>
      <c r="O150" s="2" t="inlineStr">
        <is>
          <t>in_progress</t>
        </is>
      </c>
      <c r="P150" s="2" t="inlineStr">
        <is>
          <t>not_started</t>
        </is>
      </c>
      <c r="Q150" s="2" t="inlineStr">
        <is>
          <t>not_started</t>
        </is>
      </c>
      <c r="R150" s="2" t="n"/>
      <c r="S150" s="2" t="n"/>
      <c r="T150" s="3" t="n"/>
      <c r="U150" s="2" t="inlineStr">
        <is>
          <t>12 Lighting</t>
        </is>
      </c>
      <c r="V150" s="2" t="n">
        <v>13</v>
      </c>
      <c r="W150" s="5" t="n">
        <v>46272.71894670274</v>
      </c>
      <c r="X150" s="2" t="inlineStr">
        <is>
          <t>system</t>
        </is>
      </c>
      <c r="Y150" s="2" t="inlineStr">
        <is>
          <t>7ecc7dc8-3056-5eb8-9e25-7c8a2ce2375f</t>
        </is>
      </c>
    </row>
    <row r="151">
      <c r="A151" s="6" t="inlineStr">
        <is>
          <t>12</t>
        </is>
      </c>
      <c r="B151" s="6" t="inlineStr">
        <is>
          <t>Lighting</t>
        </is>
      </c>
      <c r="C151" s="6" t="n">
        <v>150</v>
      </c>
      <c r="D151" s="7" t="inlineStr">
        <is>
          <t>Decorative Fixtures</t>
        </is>
      </c>
      <c r="E151" s="6" t="inlineStr">
        <is>
          <t>4 | D02</t>
        </is>
      </c>
      <c r="F151" s="6" t="n"/>
      <c r="G151" s="7" t="inlineStr">
        <is>
          <t>Table lamp (Una Small)</t>
        </is>
      </c>
      <c r="H151" s="7" t="inlineStr">
        <is>
          <t>Minibar</t>
        </is>
      </c>
      <c r="I151" s="6" t="n"/>
      <c r="J151" s="6" t="inlineStr">
        <is>
          <t>Una Small</t>
        </is>
      </c>
      <c r="K151" s="8" t="n">
        <v>1</v>
      </c>
      <c r="L151" s="6" t="n"/>
      <c r="M151" s="6" t="inlineStr">
        <is>
          <t>pc</t>
        </is>
      </c>
      <c r="N151" s="6" t="inlineStr">
        <is>
          <t>Luminaire Sched</t>
        </is>
      </c>
      <c r="O151" s="6" t="inlineStr">
        <is>
          <t>in_progress</t>
        </is>
      </c>
      <c r="P151" s="6" t="inlineStr">
        <is>
          <t>not_started</t>
        </is>
      </c>
      <c r="Q151" s="6" t="inlineStr">
        <is>
          <t>not_started</t>
        </is>
      </c>
      <c r="R151" s="6" t="n"/>
      <c r="S151" s="6" t="n"/>
      <c r="T151" s="7" t="n"/>
      <c r="U151" s="6" t="inlineStr">
        <is>
          <t>12 Lighting</t>
        </is>
      </c>
      <c r="V151" s="6" t="n">
        <v>14</v>
      </c>
      <c r="W151" s="9" t="n">
        <v>46272.71894670274</v>
      </c>
      <c r="X151" s="6" t="inlineStr">
        <is>
          <t>system</t>
        </is>
      </c>
      <c r="Y151" s="6" t="inlineStr">
        <is>
          <t>b440eae9-d278-594b-aab7-3b7977248f54</t>
        </is>
      </c>
    </row>
    <row r="152">
      <c r="A152" s="2" t="inlineStr">
        <is>
          <t>12</t>
        </is>
      </c>
      <c r="B152" s="2" t="inlineStr">
        <is>
          <t>Lighting</t>
        </is>
      </c>
      <c r="C152" s="2" t="n">
        <v>151</v>
      </c>
      <c r="D152" s="3" t="inlineStr">
        <is>
          <t>Decorative Fixtures</t>
        </is>
      </c>
      <c r="E152" s="2" t="inlineStr">
        <is>
          <t>5 | D03</t>
        </is>
      </c>
      <c r="F152" s="2" t="n"/>
      <c r="G152" s="3" t="inlineStr">
        <is>
          <t>Floor lamp (Kando P/111)</t>
        </is>
      </c>
      <c r="H152" s="3" t="inlineStr">
        <is>
          <t>Pool terrace</t>
        </is>
      </c>
      <c r="I152" s="2" t="n"/>
      <c r="J152" s="2" t="inlineStr">
        <is>
          <t>Kando P/111</t>
        </is>
      </c>
      <c r="K152" s="4" t="n">
        <v>1</v>
      </c>
      <c r="L152" s="2" t="n"/>
      <c r="M152" s="2" t="inlineStr">
        <is>
          <t>pc</t>
        </is>
      </c>
      <c r="N152" s="2" t="inlineStr">
        <is>
          <t>Luminaire Sched</t>
        </is>
      </c>
      <c r="O152" s="2" t="inlineStr">
        <is>
          <t>in_progress</t>
        </is>
      </c>
      <c r="P152" s="2" t="inlineStr">
        <is>
          <t>not_started</t>
        </is>
      </c>
      <c r="Q152" s="2" t="inlineStr">
        <is>
          <t>not_started</t>
        </is>
      </c>
      <c r="R152" s="2" t="n"/>
      <c r="S152" s="2" t="n"/>
      <c r="T152" s="3" t="n"/>
      <c r="U152" s="2" t="inlineStr">
        <is>
          <t>12 Lighting</t>
        </is>
      </c>
      <c r="V152" s="2" t="n">
        <v>15</v>
      </c>
      <c r="W152" s="5" t="n">
        <v>46272.71894670274</v>
      </c>
      <c r="X152" s="2" t="inlineStr">
        <is>
          <t>system</t>
        </is>
      </c>
      <c r="Y152" s="2" t="inlineStr">
        <is>
          <t>155b01b0-9317-58b0-8a64-afe526a30baa</t>
        </is>
      </c>
    </row>
    <row r="153">
      <c r="A153" s="6" t="inlineStr">
        <is>
          <t>12</t>
        </is>
      </c>
      <c r="B153" s="6" t="inlineStr">
        <is>
          <t>Lighting</t>
        </is>
      </c>
      <c r="C153" s="6" t="n">
        <v>152</v>
      </c>
      <c r="D153" s="7" t="inlineStr">
        <is>
          <t>Decorative Fixtures</t>
        </is>
      </c>
      <c r="E153" s="6" t="inlineStr">
        <is>
          <t>6 | P01</t>
        </is>
      </c>
      <c r="F153" s="6" t="n"/>
      <c r="G153" s="7" t="inlineStr">
        <is>
          <t>Portable lamp (Kando M/40/R)</t>
        </is>
      </c>
      <c r="H153" s="7" t="inlineStr">
        <is>
          <t>Portable</t>
        </is>
      </c>
      <c r="I153" s="6" t="n"/>
      <c r="J153" s="6" t="inlineStr">
        <is>
          <t>Kando M/40/R</t>
        </is>
      </c>
      <c r="K153" s="8" t="n">
        <v>1</v>
      </c>
      <c r="L153" s="6" t="n"/>
      <c r="M153" s="6" t="inlineStr">
        <is>
          <t>pc</t>
        </is>
      </c>
      <c r="N153" s="6" t="inlineStr">
        <is>
          <t>Luminaire Sched</t>
        </is>
      </c>
      <c r="O153" s="6" t="inlineStr">
        <is>
          <t>in_progress</t>
        </is>
      </c>
      <c r="P153" s="6" t="inlineStr">
        <is>
          <t>not_started</t>
        </is>
      </c>
      <c r="Q153" s="6" t="inlineStr">
        <is>
          <t>not_started</t>
        </is>
      </c>
      <c r="R153" s="6" t="n"/>
      <c r="S153" s="6" t="n"/>
      <c r="T153" s="7" t="n"/>
      <c r="U153" s="6" t="inlineStr">
        <is>
          <t>12 Lighting</t>
        </is>
      </c>
      <c r="V153" s="6" t="n">
        <v>16</v>
      </c>
      <c r="W153" s="9" t="n">
        <v>46272.71894670274</v>
      </c>
      <c r="X153" s="6" t="inlineStr">
        <is>
          <t>system</t>
        </is>
      </c>
      <c r="Y153" s="6" t="inlineStr">
        <is>
          <t>fda5330e-72c4-5ffa-8b71-1539c486cf79</t>
        </is>
      </c>
    </row>
    <row r="154">
      <c r="A154" s="2" t="inlineStr">
        <is>
          <t>12</t>
        </is>
      </c>
      <c r="B154" s="2" t="inlineStr">
        <is>
          <t>Lighting</t>
        </is>
      </c>
      <c r="C154" s="2" t="n">
        <v>153</v>
      </c>
      <c r="D154" s="3" t="inlineStr">
        <is>
          <t>LED Strips &amp; Drivers</t>
        </is>
      </c>
      <c r="E154" s="2" t="inlineStr">
        <is>
          <t>1 | L03</t>
        </is>
      </c>
      <c r="F154" s="2" t="n"/>
      <c r="G154" s="3" t="inlineStr">
        <is>
          <t>Indirect LED strip (cove)</t>
        </is>
      </c>
      <c r="H154" s="3" t="inlineStr">
        <is>
          <t>Living / outdoor living</t>
        </is>
      </c>
      <c r="I154" s="2" t="n"/>
      <c r="J154" s="2" t="n"/>
      <c r="K154" s="4" t="n">
        <v>26</v>
      </c>
      <c r="L154" s="2" t="n"/>
      <c r="M154" s="2" t="inlineStr">
        <is>
          <t>ft</t>
        </is>
      </c>
      <c r="N154" s="2" t="inlineStr">
        <is>
          <t>Luminaire Sched</t>
        </is>
      </c>
      <c r="O154" s="2" t="inlineStr">
        <is>
          <t>in_progress</t>
        </is>
      </c>
      <c r="P154" s="2" t="inlineStr">
        <is>
          <t>not_started</t>
        </is>
      </c>
      <c r="Q154" s="2" t="inlineStr">
        <is>
          <t>not_started</t>
        </is>
      </c>
      <c r="R154" s="2" t="n"/>
      <c r="S154" s="2" t="n"/>
      <c r="T154" s="3" t="n"/>
      <c r="U154" s="2" t="inlineStr">
        <is>
          <t>12 Lighting</t>
        </is>
      </c>
      <c r="V154" s="2" t="n">
        <v>17</v>
      </c>
      <c r="W154" s="5" t="n">
        <v>46272.71894670274</v>
      </c>
      <c r="X154" s="2" t="inlineStr">
        <is>
          <t>system</t>
        </is>
      </c>
      <c r="Y154" s="2" t="inlineStr">
        <is>
          <t>6dfa94bb-ed83-52bf-a299-dc098631d870</t>
        </is>
      </c>
    </row>
    <row r="155">
      <c r="A155" s="6" t="inlineStr">
        <is>
          <t>12</t>
        </is>
      </c>
      <c r="B155" s="6" t="inlineStr">
        <is>
          <t>Lighting</t>
        </is>
      </c>
      <c r="C155" s="6" t="n">
        <v>154</v>
      </c>
      <c r="D155" s="7" t="inlineStr">
        <is>
          <t>LED Strips &amp; Drivers</t>
        </is>
      </c>
      <c r="E155" s="6" t="inlineStr">
        <is>
          <t>2 | L05.1</t>
        </is>
      </c>
      <c r="F155" s="6" t="n"/>
      <c r="G155" s="7" t="inlineStr">
        <is>
          <t>LED strip in furniture, 2.93 W/ft</t>
        </is>
      </c>
      <c r="H155" s="7" t="inlineStr">
        <is>
          <t>Bedroom (headboard)</t>
        </is>
      </c>
      <c r="I155" s="6" t="n"/>
      <c r="J155" s="6" t="n"/>
      <c r="K155" s="8" t="n">
        <v>18.17</v>
      </c>
      <c r="L155" s="6" t="n"/>
      <c r="M155" s="6" t="inlineStr">
        <is>
          <t>ft</t>
        </is>
      </c>
      <c r="N155" s="6" t="inlineStr">
        <is>
          <t>Luminaire Sched</t>
        </is>
      </c>
      <c r="O155" s="6" t="inlineStr">
        <is>
          <t>in_progress</t>
        </is>
      </c>
      <c r="P155" s="6" t="inlineStr">
        <is>
          <t>not_started</t>
        </is>
      </c>
      <c r="Q155" s="6" t="inlineStr">
        <is>
          <t>not_started</t>
        </is>
      </c>
      <c r="R155" s="6" t="n"/>
      <c r="S155" s="6" t="n"/>
      <c r="T155" s="7" t="n"/>
      <c r="U155" s="6" t="inlineStr">
        <is>
          <t>12 Lighting</t>
        </is>
      </c>
      <c r="V155" s="6" t="n">
        <v>18</v>
      </c>
      <c r="W155" s="9" t="n">
        <v>46272.71894670274</v>
      </c>
      <c r="X155" s="6" t="inlineStr">
        <is>
          <t>system</t>
        </is>
      </c>
      <c r="Y155" s="6" t="inlineStr">
        <is>
          <t>c6d0ea86-012a-5d5c-8e14-93616a52b5a2</t>
        </is>
      </c>
    </row>
    <row r="156">
      <c r="A156" s="2" t="inlineStr">
        <is>
          <t>12</t>
        </is>
      </c>
      <c r="B156" s="2" t="inlineStr">
        <is>
          <t>Lighting</t>
        </is>
      </c>
      <c r="C156" s="2" t="n">
        <v>155</v>
      </c>
      <c r="D156" s="3" t="inlineStr">
        <is>
          <t>LED Strips &amp; Drivers</t>
        </is>
      </c>
      <c r="E156" s="2" t="inlineStr">
        <is>
          <t>3 | L05.2</t>
        </is>
      </c>
      <c r="F156" s="2" t="n"/>
      <c r="G156" s="3" t="inlineStr">
        <is>
          <t>LED strip in furniture, 0.73 W/ft</t>
        </is>
      </c>
      <c r="H156" s="3" t="inlineStr">
        <is>
          <t>Bedroom (under bed)</t>
        </is>
      </c>
      <c r="I156" s="2" t="n"/>
      <c r="J156" s="2" t="n"/>
      <c r="K156" s="4" t="n">
        <v>8</v>
      </c>
      <c r="L156" s="2" t="n"/>
      <c r="M156" s="2" t="inlineStr">
        <is>
          <t>ft</t>
        </is>
      </c>
      <c r="N156" s="2" t="inlineStr">
        <is>
          <t>Luminaire Sched</t>
        </is>
      </c>
      <c r="O156" s="2" t="inlineStr">
        <is>
          <t>in_progress</t>
        </is>
      </c>
      <c r="P156" s="2" t="inlineStr">
        <is>
          <t>not_started</t>
        </is>
      </c>
      <c r="Q156" s="2" t="inlineStr">
        <is>
          <t>not_started</t>
        </is>
      </c>
      <c r="R156" s="2" t="n"/>
      <c r="S156" s="2" t="n"/>
      <c r="T156" s="3" t="n"/>
      <c r="U156" s="2" t="inlineStr">
        <is>
          <t>12 Lighting</t>
        </is>
      </c>
      <c r="V156" s="2" t="n">
        <v>19</v>
      </c>
      <c r="W156" s="5" t="n">
        <v>46272.71894670274</v>
      </c>
      <c r="X156" s="2" t="inlineStr">
        <is>
          <t>system</t>
        </is>
      </c>
      <c r="Y156" s="2" t="inlineStr">
        <is>
          <t>31477d2f-e59d-524b-991e-82314e8e8c89</t>
        </is>
      </c>
    </row>
    <row r="157">
      <c r="A157" s="6" t="inlineStr">
        <is>
          <t>12</t>
        </is>
      </c>
      <c r="B157" s="6" t="inlineStr">
        <is>
          <t>Lighting</t>
        </is>
      </c>
      <c r="C157" s="6" t="n">
        <v>156</v>
      </c>
      <c r="D157" s="7" t="inlineStr">
        <is>
          <t>LED Strips &amp; Drivers</t>
        </is>
      </c>
      <c r="E157" s="6" t="inlineStr">
        <is>
          <t>4 | L05.4</t>
        </is>
      </c>
      <c r="F157" s="6" t="n"/>
      <c r="G157" s="7" t="inlineStr">
        <is>
          <t>LED strip in furniture, IP67</t>
        </is>
      </c>
      <c r="H157" s="7" t="inlineStr">
        <is>
          <t>Bathroom (wet)</t>
        </is>
      </c>
      <c r="I157" s="6" t="n"/>
      <c r="J157" s="6" t="n"/>
      <c r="K157" s="8" t="n">
        <v>1</v>
      </c>
      <c r="L157" s="6" t="n"/>
      <c r="M157" s="6" t="inlineStr">
        <is>
          <t>ft</t>
        </is>
      </c>
      <c r="N157" s="6" t="inlineStr">
        <is>
          <t>Luminaire Sched</t>
        </is>
      </c>
      <c r="O157" s="6" t="inlineStr">
        <is>
          <t>in_progress</t>
        </is>
      </c>
      <c r="P157" s="6" t="inlineStr">
        <is>
          <t>not_started</t>
        </is>
      </c>
      <c r="Q157" s="6" t="inlineStr">
        <is>
          <t>not_started</t>
        </is>
      </c>
      <c r="R157" s="6" t="n"/>
      <c r="S157" s="6" t="n"/>
      <c r="T157" s="7" t="n"/>
      <c r="U157" s="6" t="inlineStr">
        <is>
          <t>12 Lighting</t>
        </is>
      </c>
      <c r="V157" s="6" t="n">
        <v>20</v>
      </c>
      <c r="W157" s="9" t="n">
        <v>46272.71894670274</v>
      </c>
      <c r="X157" s="6" t="inlineStr">
        <is>
          <t>system</t>
        </is>
      </c>
      <c r="Y157" s="6" t="inlineStr">
        <is>
          <t>c78be7a1-5680-58d1-b2e9-30c2dbac8223</t>
        </is>
      </c>
    </row>
    <row r="158">
      <c r="A158" s="2" t="inlineStr">
        <is>
          <t>12</t>
        </is>
      </c>
      <c r="B158" s="2" t="inlineStr">
        <is>
          <t>Lighting</t>
        </is>
      </c>
      <c r="C158" s="2" t="n">
        <v>157</v>
      </c>
      <c r="D158" s="3" t="inlineStr">
        <is>
          <t>LED Strips &amp; Drivers</t>
        </is>
      </c>
      <c r="E158" s="2" t="inlineStr">
        <is>
          <t>5 | L07.2</t>
        </is>
      </c>
      <c r="F158" s="2" t="n"/>
      <c r="G158" s="3" t="inlineStr">
        <is>
          <t>LED strip in exterior step</t>
        </is>
      </c>
      <c r="H158" s="3" t="inlineStr">
        <is>
          <t>Exterior steps</t>
        </is>
      </c>
      <c r="I158" s="2" t="n"/>
      <c r="J158" s="2" t="n"/>
      <c r="K158" s="4" t="n">
        <v>1.58</v>
      </c>
      <c r="L158" s="2" t="n"/>
      <c r="M158" s="2" t="inlineStr">
        <is>
          <t>ft</t>
        </is>
      </c>
      <c r="N158" s="2" t="inlineStr">
        <is>
          <t>Luminaire Sched</t>
        </is>
      </c>
      <c r="O158" s="2" t="inlineStr">
        <is>
          <t>in_progress</t>
        </is>
      </c>
      <c r="P158" s="2" t="inlineStr">
        <is>
          <t>not_started</t>
        </is>
      </c>
      <c r="Q158" s="2" t="inlineStr">
        <is>
          <t>not_started</t>
        </is>
      </c>
      <c r="R158" s="2" t="n"/>
      <c r="S158" s="2" t="n"/>
      <c r="T158" s="3" t="n"/>
      <c r="U158" s="2" t="inlineStr">
        <is>
          <t>12 Lighting</t>
        </is>
      </c>
      <c r="V158" s="2" t="n">
        <v>21</v>
      </c>
      <c r="W158" s="5" t="n">
        <v>46272.71894670274</v>
      </c>
      <c r="X158" s="2" t="inlineStr">
        <is>
          <t>system</t>
        </is>
      </c>
      <c r="Y158" s="2" t="inlineStr">
        <is>
          <t>271a3bef-c0ec-5763-8a38-a111c9a18af4</t>
        </is>
      </c>
    </row>
    <row r="159">
      <c r="A159" s="6" t="inlineStr">
        <is>
          <t>12</t>
        </is>
      </c>
      <c r="B159" s="6" t="inlineStr">
        <is>
          <t>Lighting</t>
        </is>
      </c>
      <c r="C159" s="6" t="n">
        <v>158</v>
      </c>
      <c r="D159" s="7" t="inlineStr">
        <is>
          <t>Lighting Control System (Lutron)</t>
        </is>
      </c>
      <c r="E159" s="6" t="inlineStr">
        <is>
          <t>1</t>
        </is>
      </c>
      <c r="F159" s="6" t="n"/>
      <c r="G159" s="7" t="inlineStr">
        <is>
          <t>myRoom XC guestroom processor, DIN-rail</t>
        </is>
      </c>
      <c r="H159" s="7" t="inlineStr">
        <is>
          <t>MEP</t>
        </is>
      </c>
      <c r="I159" s="6" t="inlineStr">
        <is>
          <t>Lutron</t>
        </is>
      </c>
      <c r="J159" s="6" t="inlineStr">
        <is>
          <t>MP-1L-GCU</t>
        </is>
      </c>
      <c r="K159" s="8" t="n">
        <v>1</v>
      </c>
      <c r="L159" s="6" t="n"/>
      <c r="M159" s="6" t="inlineStr">
        <is>
          <t>pc</t>
        </is>
      </c>
      <c r="N159" s="6" t="inlineStr">
        <is>
          <t>Report Pkg Rev5</t>
        </is>
      </c>
      <c r="O159" s="6" t="inlineStr">
        <is>
          <t>complete</t>
        </is>
      </c>
      <c r="P159" s="6" t="inlineStr">
        <is>
          <t>not_started</t>
        </is>
      </c>
      <c r="Q159" s="6" t="inlineStr">
        <is>
          <t>not_started</t>
        </is>
      </c>
      <c r="R159" s="10" t="inlineStr">
        <is>
          <t>https://assets.lutron.com/a/documents/3691255_eng.pdf</t>
        </is>
      </c>
      <c r="S159" s="6" t="n"/>
      <c r="T159" s="7" t="inlineStr">
        <is>
          <t>lights/shades/temp + PMS/BMS</t>
        </is>
      </c>
      <c r="U159" s="6" t="inlineStr">
        <is>
          <t>12 Lighting</t>
        </is>
      </c>
      <c r="V159" s="6" t="n">
        <v>22</v>
      </c>
      <c r="W159" s="9" t="n">
        <v>46272.71894670274</v>
      </c>
      <c r="X159" s="6" t="inlineStr">
        <is>
          <t>system</t>
        </is>
      </c>
      <c r="Y159" s="6" t="inlineStr">
        <is>
          <t>ea701d17-7618-502d-9a5e-ee514e782101</t>
        </is>
      </c>
    </row>
    <row r="160">
      <c r="A160" s="2" t="inlineStr">
        <is>
          <t>12</t>
        </is>
      </c>
      <c r="B160" s="2" t="inlineStr">
        <is>
          <t>Lighting</t>
        </is>
      </c>
      <c r="C160" s="2" t="n">
        <v>159</v>
      </c>
      <c r="D160" s="3" t="inlineStr">
        <is>
          <t>Lighting Control System (Lutron)</t>
        </is>
      </c>
      <c r="E160" s="2" t="inlineStr">
        <is>
          <t>10</t>
        </is>
      </c>
      <c r="F160" s="2" t="n"/>
      <c r="G160" s="3" t="inlineStr">
        <is>
          <t>International-style wallbox / back box</t>
        </is>
      </c>
      <c r="H160" s="3" t="inlineStr">
        <is>
          <t>Guestroom</t>
        </is>
      </c>
      <c r="I160" s="2" t="inlineStr">
        <is>
          <t>Lutron</t>
        </is>
      </c>
      <c r="J160" s="2" t="inlineStr">
        <is>
          <t>EBB-1-SQ</t>
        </is>
      </c>
      <c r="K160" s="4" t="n">
        <v>10</v>
      </c>
      <c r="L160" s="2" t="n"/>
      <c r="M160" s="2" t="inlineStr">
        <is>
          <t>pc</t>
        </is>
      </c>
      <c r="N160" s="2" t="inlineStr">
        <is>
          <t>Report Pkg Rev5</t>
        </is>
      </c>
      <c r="O160" s="2" t="inlineStr">
        <is>
          <t>complete</t>
        </is>
      </c>
      <c r="P160" s="2" t="inlineStr">
        <is>
          <t>not_started</t>
        </is>
      </c>
      <c r="Q160" s="2" t="inlineStr">
        <is>
          <t>not_started</t>
        </is>
      </c>
      <c r="R160" s="2" t="n"/>
      <c r="S160" s="2" t="n"/>
      <c r="T160" s="3" t="inlineStr">
        <is>
          <t>DISCREPANCY: confirm vs EBB-15-SQ</t>
        </is>
      </c>
      <c r="U160" s="2" t="inlineStr">
        <is>
          <t>12 Lighting</t>
        </is>
      </c>
      <c r="V160" s="2" t="n">
        <v>23</v>
      </c>
      <c r="W160" s="5" t="n">
        <v>46272.71894670274</v>
      </c>
      <c r="X160" s="2" t="inlineStr">
        <is>
          <t>system</t>
        </is>
      </c>
      <c r="Y160" s="2" t="inlineStr">
        <is>
          <t>bb709821-1af7-5c27-ab1e-e00fd06ef849</t>
        </is>
      </c>
    </row>
    <row r="161">
      <c r="A161" s="6" t="inlineStr">
        <is>
          <t>12</t>
        </is>
      </c>
      <c r="B161" s="6" t="inlineStr">
        <is>
          <t>Lighting</t>
        </is>
      </c>
      <c r="C161" s="6" t="n">
        <v>160</v>
      </c>
      <c r="D161" s="7" t="inlineStr">
        <is>
          <t>Lighting Control System (Lutron)</t>
        </is>
      </c>
      <c r="E161" s="6" t="inlineStr">
        <is>
          <t>11</t>
        </is>
      </c>
      <c r="F161" s="6" t="n"/>
      <c r="G161" s="7" t="inlineStr">
        <is>
          <t>Radio Powr Savr wireless ceiling occupancy sensor</t>
        </is>
      </c>
      <c r="H161" s="7" t="inlineStr">
        <is>
          <t>Guestroom</t>
        </is>
      </c>
      <c r="I161" s="6" t="inlineStr">
        <is>
          <t>Lutron</t>
        </is>
      </c>
      <c r="J161" s="6" t="inlineStr">
        <is>
          <t>LRF2-OCR2B-P-WH</t>
        </is>
      </c>
      <c r="K161" s="8" t="n">
        <v>4</v>
      </c>
      <c r="L161" s="6" t="n"/>
      <c r="M161" s="6" t="inlineStr">
        <is>
          <t>pc</t>
        </is>
      </c>
      <c r="N161" s="6" t="inlineStr">
        <is>
          <t>Report Pkg Rev5</t>
        </is>
      </c>
      <c r="O161" s="6" t="inlineStr">
        <is>
          <t>complete</t>
        </is>
      </c>
      <c r="P161" s="6" t="inlineStr">
        <is>
          <t>not_started</t>
        </is>
      </c>
      <c r="Q161" s="6" t="inlineStr">
        <is>
          <t>not_started</t>
        </is>
      </c>
      <c r="R161" s="10" t="inlineStr">
        <is>
          <t>https://assets.lutron.com/a/documents/369480_eng.pdf</t>
        </is>
      </c>
      <c r="S161" s="6" t="n"/>
      <c r="T161" s="7" t="n"/>
      <c r="U161" s="6" t="inlineStr">
        <is>
          <t>12 Lighting</t>
        </is>
      </c>
      <c r="V161" s="6" t="n">
        <v>24</v>
      </c>
      <c r="W161" s="9" t="n">
        <v>46272.71894670274</v>
      </c>
      <c r="X161" s="6" t="inlineStr">
        <is>
          <t>system</t>
        </is>
      </c>
      <c r="Y161" s="6" t="inlineStr">
        <is>
          <t>2b63cb66-8770-5c9f-a8ff-7252a156a91a</t>
        </is>
      </c>
    </row>
    <row r="162">
      <c r="A162" s="2" t="inlineStr">
        <is>
          <t>12</t>
        </is>
      </c>
      <c r="B162" s="2" t="inlineStr">
        <is>
          <t>Lighting</t>
        </is>
      </c>
      <c r="C162" s="2" t="n">
        <v>161</v>
      </c>
      <c r="D162" s="3" t="inlineStr">
        <is>
          <t>Lighting Control System (Lutron)</t>
        </is>
      </c>
      <c r="E162" s="2" t="inlineStr">
        <is>
          <t>12</t>
        </is>
      </c>
      <c r="F162" s="2" t="n"/>
      <c r="G162" s="3" t="inlineStr">
        <is>
          <t>Wireless QS sensor module, 434 MHz, ceiling</t>
        </is>
      </c>
      <c r="H162" s="3" t="inlineStr">
        <is>
          <t>Guestroom</t>
        </is>
      </c>
      <c r="I162" s="2" t="inlineStr">
        <is>
          <t>Lutron</t>
        </is>
      </c>
      <c r="J162" s="2" t="inlineStr">
        <is>
          <t>QSM2-XW-C</t>
        </is>
      </c>
      <c r="K162" s="4" t="n">
        <v>1</v>
      </c>
      <c r="L162" s="2" t="n"/>
      <c r="M162" s="2" t="inlineStr">
        <is>
          <t>pc</t>
        </is>
      </c>
      <c r="N162" s="2" t="inlineStr">
        <is>
          <t>Report Pkg Rev5</t>
        </is>
      </c>
      <c r="O162" s="2" t="inlineStr">
        <is>
          <t>complete</t>
        </is>
      </c>
      <c r="P162" s="2" t="inlineStr">
        <is>
          <t>not_started</t>
        </is>
      </c>
      <c r="Q162" s="2" t="inlineStr">
        <is>
          <t>not_started</t>
        </is>
      </c>
      <c r="R162" s="10" t="inlineStr">
        <is>
          <t>https://assets.lutron.com/a/documents/3691180_eng.pdf</t>
        </is>
      </c>
      <c r="S162" s="2" t="n"/>
      <c r="T162" s="3" t="inlineStr">
        <is>
          <t>DISCREPANCY: 434MHz part is QSM2-4W-C</t>
        </is>
      </c>
      <c r="U162" s="2" t="inlineStr">
        <is>
          <t>12 Lighting</t>
        </is>
      </c>
      <c r="V162" s="2" t="n">
        <v>25</v>
      </c>
      <c r="W162" s="5" t="n">
        <v>46272.71894670274</v>
      </c>
      <c r="X162" s="2" t="inlineStr">
        <is>
          <t>system</t>
        </is>
      </c>
      <c r="Y162" s="2" t="inlineStr">
        <is>
          <t>b28e9b94-80ea-5d0e-a84e-84e6b3b0a9fe</t>
        </is>
      </c>
    </row>
    <row r="163">
      <c r="A163" s="6" t="inlineStr">
        <is>
          <t>12</t>
        </is>
      </c>
      <c r="B163" s="6" t="inlineStr">
        <is>
          <t>Lighting</t>
        </is>
      </c>
      <c r="C163" s="6" t="n">
        <v>162</v>
      </c>
      <c r="D163" s="7" t="inlineStr">
        <is>
          <t>Lighting Control System (Lutron)</t>
        </is>
      </c>
      <c r="E163" s="6" t="inlineStr">
        <is>
          <t>13</t>
        </is>
      </c>
      <c r="F163" s="6" t="n"/>
      <c r="G163" s="7" t="inlineStr">
        <is>
          <t>Maestro PIR occupancy/vacancy switch, 2A</t>
        </is>
      </c>
      <c r="H163" s="7" t="inlineStr">
        <is>
          <t>Guestroom</t>
        </is>
      </c>
      <c r="I163" s="6" t="inlineStr">
        <is>
          <t>Lutron</t>
        </is>
      </c>
      <c r="J163" s="6" t="inlineStr">
        <is>
          <t>MS-OPS2-WH</t>
        </is>
      </c>
      <c r="K163" s="8" t="n">
        <v>1</v>
      </c>
      <c r="L163" s="6" t="n"/>
      <c r="M163" s="6" t="inlineStr">
        <is>
          <t>pc</t>
        </is>
      </c>
      <c r="N163" s="6" t="inlineStr">
        <is>
          <t>Report Pkg Rev5</t>
        </is>
      </c>
      <c r="O163" s="6" t="inlineStr">
        <is>
          <t>complete</t>
        </is>
      </c>
      <c r="P163" s="6" t="inlineStr">
        <is>
          <t>not_started</t>
        </is>
      </c>
      <c r="Q163" s="6" t="inlineStr">
        <is>
          <t>not_started</t>
        </is>
      </c>
      <c r="R163" s="6" t="n"/>
      <c r="S163" s="6" t="n"/>
      <c r="T163" s="7" t="n"/>
      <c r="U163" s="6" t="inlineStr">
        <is>
          <t>12 Lighting</t>
        </is>
      </c>
      <c r="V163" s="6" t="n">
        <v>26</v>
      </c>
      <c r="W163" s="9" t="n">
        <v>46272.71894670274</v>
      </c>
      <c r="X163" s="6" t="inlineStr">
        <is>
          <t>system</t>
        </is>
      </c>
      <c r="Y163" s="6" t="inlineStr">
        <is>
          <t>ff46dc93-e529-5905-b9b0-e01c0e40c3ec</t>
        </is>
      </c>
    </row>
    <row r="164">
      <c r="A164" s="2" t="inlineStr">
        <is>
          <t>12</t>
        </is>
      </c>
      <c r="B164" s="2" t="inlineStr">
        <is>
          <t>Lighting</t>
        </is>
      </c>
      <c r="C164" s="2" t="n">
        <v>163</v>
      </c>
      <c r="D164" s="3" t="inlineStr">
        <is>
          <t>Lighting Control System (Lutron)</t>
        </is>
      </c>
      <c r="E164" s="2" t="inlineStr">
        <is>
          <t>14</t>
        </is>
      </c>
      <c r="F164" s="2" t="n"/>
      <c r="G164" s="3" t="inlineStr">
        <is>
          <t>Claro 1-gang faceplate, white</t>
        </is>
      </c>
      <c r="H164" s="3" t="inlineStr">
        <is>
          <t>Guestroom</t>
        </is>
      </c>
      <c r="I164" s="2" t="inlineStr">
        <is>
          <t>Lutron</t>
        </is>
      </c>
      <c r="J164" s="2" t="inlineStr">
        <is>
          <t>CW-1-WH</t>
        </is>
      </c>
      <c r="K164" s="4" t="n">
        <v>1</v>
      </c>
      <c r="L164" s="2" t="n"/>
      <c r="M164" s="2" t="inlineStr">
        <is>
          <t>pc</t>
        </is>
      </c>
      <c r="N164" s="2" t="inlineStr">
        <is>
          <t>Report Pkg Rev5</t>
        </is>
      </c>
      <c r="O164" s="2" t="inlineStr">
        <is>
          <t>complete</t>
        </is>
      </c>
      <c r="P164" s="2" t="inlineStr">
        <is>
          <t>not_started</t>
        </is>
      </c>
      <c r="Q164" s="2" t="inlineStr">
        <is>
          <t>not_started</t>
        </is>
      </c>
      <c r="R164" s="10" t="inlineStr">
        <is>
          <t>https://assets.lutron.com/a/documents/claro_wallplates_and_accessories.pdf</t>
        </is>
      </c>
      <c r="S164" s="2" t="n"/>
      <c r="T164" s="3" t="n"/>
      <c r="U164" s="2" t="inlineStr">
        <is>
          <t>12 Lighting</t>
        </is>
      </c>
      <c r="V164" s="2" t="n">
        <v>27</v>
      </c>
      <c r="W164" s="5" t="n">
        <v>46272.71894670274</v>
      </c>
      <c r="X164" s="2" t="inlineStr">
        <is>
          <t>system</t>
        </is>
      </c>
      <c r="Y164" s="2" t="inlineStr">
        <is>
          <t>c031e97d-8b37-502b-be02-3a39fb0571c5</t>
        </is>
      </c>
    </row>
    <row r="165">
      <c r="A165" s="6" t="inlineStr">
        <is>
          <t>12</t>
        </is>
      </c>
      <c r="B165" s="6" t="inlineStr">
        <is>
          <t>Lighting</t>
        </is>
      </c>
      <c r="C165" s="6" t="n">
        <v>164</v>
      </c>
      <c r="D165" s="7" t="inlineStr">
        <is>
          <t>Lighting Control System (Lutron)</t>
        </is>
      </c>
      <c r="E165" s="6" t="inlineStr">
        <is>
          <t>15</t>
        </is>
      </c>
      <c r="F165" s="6" t="n"/>
      <c r="G165" s="7" t="inlineStr">
        <is>
          <t>myRoom Palladiom thermostat w/ occ + humidity</t>
        </is>
      </c>
      <c r="H165" s="7" t="inlineStr">
        <is>
          <t>Guestroom</t>
        </is>
      </c>
      <c r="I165" s="6" t="inlineStr">
        <is>
          <t>Lutron</t>
        </is>
      </c>
      <c r="J165" s="6" t="inlineStr">
        <is>
          <t>MWP-T-OHW-WH-A</t>
        </is>
      </c>
      <c r="K165" s="8" t="n">
        <v>1</v>
      </c>
      <c r="L165" s="6" t="n"/>
      <c r="M165" s="6" t="inlineStr">
        <is>
          <t>pc</t>
        </is>
      </c>
      <c r="N165" s="6" t="inlineStr">
        <is>
          <t>Report Pkg Rev5</t>
        </is>
      </c>
      <c r="O165" s="6" t="inlineStr">
        <is>
          <t>complete</t>
        </is>
      </c>
      <c r="P165" s="6" t="inlineStr">
        <is>
          <t>not_started</t>
        </is>
      </c>
      <c r="Q165" s="6" t="inlineStr">
        <is>
          <t>not_started</t>
        </is>
      </c>
      <c r="R165" s="10" t="inlineStr">
        <is>
          <t>https://support.lutron.com/us/en/product/myroom-xc/component/temperature-control/palladiom-thermostat/mwp-t-ohw</t>
        </is>
      </c>
      <c r="S165" s="6" t="n"/>
      <c r="T165" s="7" t="inlineStr">
        <is>
          <t>DISCREPANCY: finish -CP-A vs -WH-A</t>
        </is>
      </c>
      <c r="U165" s="6" t="inlineStr">
        <is>
          <t>12 Lighting</t>
        </is>
      </c>
      <c r="V165" s="6" t="n">
        <v>28</v>
      </c>
      <c r="W165" s="9" t="n">
        <v>46272.71894670274</v>
      </c>
      <c r="X165" s="6" t="inlineStr">
        <is>
          <t>system</t>
        </is>
      </c>
      <c r="Y165" s="6" t="inlineStr">
        <is>
          <t>89916806-57ff-5720-ba1d-85f4ee01270c</t>
        </is>
      </c>
    </row>
    <row r="166">
      <c r="A166" s="2" t="inlineStr">
        <is>
          <t>12</t>
        </is>
      </c>
      <c r="B166" s="2" t="inlineStr">
        <is>
          <t>Lighting</t>
        </is>
      </c>
      <c r="C166" s="2" t="n">
        <v>165</v>
      </c>
      <c r="D166" s="3" t="inlineStr">
        <is>
          <t>Lighting Control System (Lutron)</t>
        </is>
      </c>
      <c r="E166" s="2" t="inlineStr">
        <is>
          <t>16</t>
        </is>
      </c>
      <c r="F166" s="2" t="n"/>
      <c r="G166" s="3" t="inlineStr">
        <is>
          <t>Palladiom fan-coil controller</t>
        </is>
      </c>
      <c r="H166" s="3" t="inlineStr">
        <is>
          <t>Guestroom</t>
        </is>
      </c>
      <c r="I166" s="2" t="inlineStr">
        <is>
          <t>Lutron</t>
        </is>
      </c>
      <c r="J166" s="2" t="inlineStr">
        <is>
          <t>SMC55-MYRM</t>
        </is>
      </c>
      <c r="K166" s="4" t="n">
        <v>1</v>
      </c>
      <c r="L166" s="2" t="n"/>
      <c r="M166" s="2" t="inlineStr">
        <is>
          <t>pc</t>
        </is>
      </c>
      <c r="N166" s="2" t="inlineStr">
        <is>
          <t>Report Pkg Rev5</t>
        </is>
      </c>
      <c r="O166" s="2" t="inlineStr">
        <is>
          <t>complete</t>
        </is>
      </c>
      <c r="P166" s="2" t="inlineStr">
        <is>
          <t>not_started</t>
        </is>
      </c>
      <c r="Q166" s="2" t="inlineStr">
        <is>
          <t>not_started</t>
        </is>
      </c>
      <c r="R166" s="10" t="inlineStr">
        <is>
          <t>https://assets.lutron.com/a/documents/3691130.pdf</t>
        </is>
      </c>
      <c r="S166" s="2" t="n"/>
      <c r="T166" s="3" t="inlineStr">
        <is>
          <t>HVAC valve/fan control</t>
        </is>
      </c>
      <c r="U166" s="2" t="inlineStr">
        <is>
          <t>12 Lighting</t>
        </is>
      </c>
      <c r="V166" s="2" t="n">
        <v>29</v>
      </c>
      <c r="W166" s="5" t="n">
        <v>46272.71894670274</v>
      </c>
      <c r="X166" s="2" t="inlineStr">
        <is>
          <t>system</t>
        </is>
      </c>
      <c r="Y166" s="2" t="inlineStr">
        <is>
          <t>1605176e-48db-5626-a5d4-e3cf5ac5ad53</t>
        </is>
      </c>
    </row>
    <row r="167">
      <c r="A167" s="6" t="inlineStr">
        <is>
          <t>12</t>
        </is>
      </c>
      <c r="B167" s="6" t="inlineStr">
        <is>
          <t>Lighting</t>
        </is>
      </c>
      <c r="C167" s="6" t="n">
        <v>166</v>
      </c>
      <c r="D167" s="7" t="inlineStr">
        <is>
          <t>Lighting Control System (Lutron)</t>
        </is>
      </c>
      <c r="E167" s="6" t="inlineStr">
        <is>
          <t>17</t>
        </is>
      </c>
      <c r="F167" s="6" t="n"/>
      <c r="G167" s="7" t="inlineStr">
        <is>
          <t>QS contact-closure interface, 5 in / 5 relay</t>
        </is>
      </c>
      <c r="H167" s="7" t="inlineStr">
        <is>
          <t>MEP</t>
        </is>
      </c>
      <c r="I167" s="6" t="inlineStr">
        <is>
          <t>Lutron</t>
        </is>
      </c>
      <c r="J167" s="6" t="inlineStr">
        <is>
          <t>QSE-IO</t>
        </is>
      </c>
      <c r="K167" s="8" t="n">
        <v>1</v>
      </c>
      <c r="L167" s="6" t="n"/>
      <c r="M167" s="6" t="inlineStr">
        <is>
          <t>pc</t>
        </is>
      </c>
      <c r="N167" s="6" t="inlineStr">
        <is>
          <t>Report Pkg Rev5</t>
        </is>
      </c>
      <c r="O167" s="6" t="inlineStr">
        <is>
          <t>complete</t>
        </is>
      </c>
      <c r="P167" s="6" t="inlineStr">
        <is>
          <t>not_started</t>
        </is>
      </c>
      <c r="Q167" s="6" t="inlineStr">
        <is>
          <t>not_started</t>
        </is>
      </c>
      <c r="R167" s="10" t="inlineStr">
        <is>
          <t>https://assets.lutron.com/a/documents/qse-io.pdf</t>
        </is>
      </c>
      <c r="S167" s="6" t="n"/>
      <c r="T167" s="7" t="n"/>
      <c r="U167" s="6" t="inlineStr">
        <is>
          <t>12 Lighting</t>
        </is>
      </c>
      <c r="V167" s="6" t="n">
        <v>30</v>
      </c>
      <c r="W167" s="9" t="n">
        <v>46272.71894670274</v>
      </c>
      <c r="X167" s="6" t="inlineStr">
        <is>
          <t>system</t>
        </is>
      </c>
      <c r="Y167" s="6" t="inlineStr">
        <is>
          <t>c49c3492-ac24-525b-92eb-bec2da7f0623</t>
        </is>
      </c>
    </row>
    <row r="168">
      <c r="A168" s="2" t="inlineStr">
        <is>
          <t>12</t>
        </is>
      </c>
      <c r="B168" s="2" t="inlineStr">
        <is>
          <t>Lighting</t>
        </is>
      </c>
      <c r="C168" s="2" t="n">
        <v>167</v>
      </c>
      <c r="D168" s="3" t="inlineStr">
        <is>
          <t>Lighting Control System (Lutron)</t>
        </is>
      </c>
      <c r="E168" s="2" t="inlineStr">
        <is>
          <t>18</t>
        </is>
      </c>
      <c r="F168" s="2" t="n"/>
      <c r="G168" s="3" t="inlineStr">
        <is>
          <t>8-yr limited parts warranty + 2-yr diagnostic labor</t>
        </is>
      </c>
      <c r="H168" s="3" t="inlineStr">
        <is>
          <t>-</t>
        </is>
      </c>
      <c r="I168" s="2" t="inlineStr">
        <is>
          <t>Lutron</t>
        </is>
      </c>
      <c r="J168" s="2" t="inlineStr">
        <is>
          <t>LSC-L2-P8LTD</t>
        </is>
      </c>
      <c r="K168" s="4" t="n">
        <v>1</v>
      </c>
      <c r="L168" s="2" t="n"/>
      <c r="M168" s="2" t="inlineStr">
        <is>
          <t>ls</t>
        </is>
      </c>
      <c r="N168" s="2" t="inlineStr">
        <is>
          <t>Quote Rev14</t>
        </is>
      </c>
      <c r="O168" s="2" t="inlineStr">
        <is>
          <t>complete</t>
        </is>
      </c>
      <c r="P168" s="2" t="inlineStr">
        <is>
          <t>not_started</t>
        </is>
      </c>
      <c r="Q168" s="2" t="inlineStr">
        <is>
          <t>not_started</t>
        </is>
      </c>
      <c r="R168" s="2" t="n"/>
      <c r="S168" s="2" t="n"/>
      <c r="T168" s="3" t="inlineStr">
        <is>
          <t>service line</t>
        </is>
      </c>
      <c r="U168" s="2" t="inlineStr">
        <is>
          <t>12 Lighting</t>
        </is>
      </c>
      <c r="V168" s="2" t="n">
        <v>31</v>
      </c>
      <c r="W168" s="5" t="n">
        <v>46272.71894670274</v>
      </c>
      <c r="X168" s="2" t="inlineStr">
        <is>
          <t>system</t>
        </is>
      </c>
      <c r="Y168" s="2" t="inlineStr">
        <is>
          <t>79d290a3-f94c-5e43-bb75-9f13d72814ae</t>
        </is>
      </c>
    </row>
    <row r="169">
      <c r="A169" s="6" t="inlineStr">
        <is>
          <t>12</t>
        </is>
      </c>
      <c r="B169" s="6" t="inlineStr">
        <is>
          <t>Lighting</t>
        </is>
      </c>
      <c r="C169" s="6" t="n">
        <v>168</v>
      </c>
      <c r="D169" s="7" t="inlineStr">
        <is>
          <t>Lighting Control System (Lutron)</t>
        </is>
      </c>
      <c r="E169" s="6" t="inlineStr">
        <is>
          <t>19</t>
        </is>
      </c>
      <c r="F169" s="6" t="n"/>
      <c r="G169" s="7" t="inlineStr">
        <is>
          <t>Palladiom USB C-C receptacle, matte black (ADD Rev14)</t>
        </is>
      </c>
      <c r="H169" s="7" t="inlineStr">
        <is>
          <t>Guestroom</t>
        </is>
      </c>
      <c r="I169" s="6" t="inlineStr">
        <is>
          <t>Lutron</t>
        </is>
      </c>
      <c r="J169" s="6" t="inlineStr">
        <is>
          <t>LTR-15-CCTR-BL</t>
        </is>
      </c>
      <c r="K169" s="8" t="n">
        <v>5</v>
      </c>
      <c r="L169" s="6" t="n"/>
      <c r="M169" s="6" t="inlineStr">
        <is>
          <t>pc</t>
        </is>
      </c>
      <c r="N169" s="6" t="inlineStr">
        <is>
          <t>Quote Rev14</t>
        </is>
      </c>
      <c r="O169" s="6" t="inlineStr">
        <is>
          <t>in_progress</t>
        </is>
      </c>
      <c r="P169" s="6" t="inlineStr">
        <is>
          <t>not_started</t>
        </is>
      </c>
      <c r="Q169" s="6" t="inlineStr">
        <is>
          <t>not_started</t>
        </is>
      </c>
      <c r="R169" s="10" t="inlineStr">
        <is>
          <t>https://assets.lutron.com/a/documents/369976.pdf</t>
        </is>
      </c>
      <c r="S169" s="6" t="n"/>
      <c r="T169" s="7" t="inlineStr">
        <is>
          <t>ADDED Rev14 - not in drawings; verify</t>
        </is>
      </c>
      <c r="U169" s="6" t="inlineStr">
        <is>
          <t>12 Lighting</t>
        </is>
      </c>
      <c r="V169" s="6" t="n">
        <v>32</v>
      </c>
      <c r="W169" s="9" t="n">
        <v>46272.71894670274</v>
      </c>
      <c r="X169" s="6" t="inlineStr">
        <is>
          <t>system</t>
        </is>
      </c>
      <c r="Y169" s="6" t="inlineStr">
        <is>
          <t>81bd70ba-825a-5e10-b4a1-6bf10d9be0c7</t>
        </is>
      </c>
    </row>
    <row r="170">
      <c r="A170" s="2" t="inlineStr">
        <is>
          <t>12</t>
        </is>
      </c>
      <c r="B170" s="2" t="inlineStr">
        <is>
          <t>Lighting</t>
        </is>
      </c>
      <c r="C170" s="2" t="n">
        <v>169</v>
      </c>
      <c r="D170" s="3" t="inlineStr">
        <is>
          <t>Lighting Control System (Lutron)</t>
        </is>
      </c>
      <c r="E170" s="2" t="inlineStr">
        <is>
          <t>2</t>
        </is>
      </c>
      <c r="F170" s="2" t="n"/>
      <c r="G170" s="3" t="inlineStr">
        <is>
          <t>myRoom QS-link DIN power supply, 120-240V, 30 PDU</t>
        </is>
      </c>
      <c r="H170" s="3" t="inlineStr">
        <is>
          <t>MEP</t>
        </is>
      </c>
      <c r="I170" s="2" t="inlineStr">
        <is>
          <t>Lutron</t>
        </is>
      </c>
      <c r="J170" s="2" t="inlineStr">
        <is>
          <t>MQSPS-DH-1-30</t>
        </is>
      </c>
      <c r="K170" s="4" t="n">
        <v>1</v>
      </c>
      <c r="L170" s="2" t="n"/>
      <c r="M170" s="2" t="inlineStr">
        <is>
          <t>pc</t>
        </is>
      </c>
      <c r="N170" s="2" t="inlineStr">
        <is>
          <t>Report Pkg Rev5</t>
        </is>
      </c>
      <c r="O170" s="2" t="inlineStr">
        <is>
          <t>complete</t>
        </is>
      </c>
      <c r="P170" s="2" t="inlineStr">
        <is>
          <t>not_started</t>
        </is>
      </c>
      <c r="Q170" s="2" t="inlineStr">
        <is>
          <t>not_started</t>
        </is>
      </c>
      <c r="R170" s="10" t="inlineStr">
        <is>
          <t>https://assets.lutron.com/a/documents/3691003_ENG.pdf</t>
        </is>
      </c>
      <c r="S170" s="2" t="n"/>
      <c r="T170" s="3" t="n"/>
      <c r="U170" s="2" t="inlineStr">
        <is>
          <t>12 Lighting</t>
        </is>
      </c>
      <c r="V170" s="2" t="n">
        <v>33</v>
      </c>
      <c r="W170" s="5" t="n">
        <v>46272.71894670274</v>
      </c>
      <c r="X170" s="2" t="inlineStr">
        <is>
          <t>system</t>
        </is>
      </c>
      <c r="Y170" s="2" t="inlineStr">
        <is>
          <t>0cc57aea-60aa-58e2-8246-9f36ebbe8662</t>
        </is>
      </c>
    </row>
    <row r="171">
      <c r="A171" s="6" t="inlineStr">
        <is>
          <t>12</t>
        </is>
      </c>
      <c r="B171" s="6" t="inlineStr">
        <is>
          <t>Lighting</t>
        </is>
      </c>
      <c r="C171" s="6" t="n">
        <v>170</v>
      </c>
      <c r="D171" s="7" t="inlineStr">
        <is>
          <t>Lighting Control System (Lutron)</t>
        </is>
      </c>
      <c r="E171" s="6" t="inlineStr">
        <is>
          <t>20</t>
        </is>
      </c>
      <c r="F171" s="6" t="n"/>
      <c r="G171" s="7" t="inlineStr">
        <is>
          <t>New Architectural duplex 15A TR receptacle, black (ADD)</t>
        </is>
      </c>
      <c r="H171" s="7" t="inlineStr">
        <is>
          <t>Guestroom</t>
        </is>
      </c>
      <c r="I171" s="6" t="inlineStr">
        <is>
          <t>Lutron</t>
        </is>
      </c>
      <c r="J171" s="6" t="inlineStr">
        <is>
          <t>LTR-15-TR-BL</t>
        </is>
      </c>
      <c r="K171" s="8" t="n">
        <v>7</v>
      </c>
      <c r="L171" s="6" t="n"/>
      <c r="M171" s="6" t="inlineStr">
        <is>
          <t>pc</t>
        </is>
      </c>
      <c r="N171" s="6" t="inlineStr">
        <is>
          <t>Quote Rev14</t>
        </is>
      </c>
      <c r="O171" s="6" t="inlineStr">
        <is>
          <t>in_progress</t>
        </is>
      </c>
      <c r="P171" s="6" t="inlineStr">
        <is>
          <t>not_started</t>
        </is>
      </c>
      <c r="Q171" s="6" t="inlineStr">
        <is>
          <t>not_started</t>
        </is>
      </c>
      <c r="R171" s="10" t="inlineStr">
        <is>
          <t>https://support.lutron.com/us/en/product/receptacles/component/new-architectural/tamper-resistant/ltr-15-tr</t>
        </is>
      </c>
      <c r="S171" s="6" t="n"/>
      <c r="T171" s="7" t="inlineStr">
        <is>
          <t>ADDED Rev14 - verify</t>
        </is>
      </c>
      <c r="U171" s="6" t="inlineStr">
        <is>
          <t>12 Lighting</t>
        </is>
      </c>
      <c r="V171" s="6" t="n">
        <v>34</v>
      </c>
      <c r="W171" s="9" t="n">
        <v>46272.71894670274</v>
      </c>
      <c r="X171" s="6" t="inlineStr">
        <is>
          <t>system</t>
        </is>
      </c>
      <c r="Y171" s="6" t="inlineStr">
        <is>
          <t>d517ebeb-035b-5482-b43e-970f48b80650</t>
        </is>
      </c>
    </row>
    <row r="172">
      <c r="A172" s="2" t="inlineStr">
        <is>
          <t>12</t>
        </is>
      </c>
      <c r="B172" s="2" t="inlineStr">
        <is>
          <t>Lighting</t>
        </is>
      </c>
      <c r="C172" s="2" t="n">
        <v>171</v>
      </c>
      <c r="D172" s="3" t="inlineStr">
        <is>
          <t>Lighting Control System (Lutron)</t>
        </is>
      </c>
      <c r="E172" s="2" t="inlineStr">
        <is>
          <t>21</t>
        </is>
      </c>
      <c r="F172" s="2" t="n"/>
      <c r="G172" s="3" t="inlineStr">
        <is>
          <t>Palladiom 1-gang faceplate, satin brass (ADD)</t>
        </is>
      </c>
      <c r="H172" s="3" t="inlineStr">
        <is>
          <t>Guestroom</t>
        </is>
      </c>
      <c r="I172" s="2" t="inlineStr">
        <is>
          <t>Lutron</t>
        </is>
      </c>
      <c r="J172" s="2" t="inlineStr">
        <is>
          <t>LWT-U-P-SB</t>
        </is>
      </c>
      <c r="K172" s="4" t="n">
        <v>12</v>
      </c>
      <c r="L172" s="2" t="n"/>
      <c r="M172" s="2" t="inlineStr">
        <is>
          <t>pc</t>
        </is>
      </c>
      <c r="N172" s="2" t="inlineStr">
        <is>
          <t>Quote Rev14</t>
        </is>
      </c>
      <c r="O172" s="2" t="inlineStr">
        <is>
          <t>in_progress</t>
        </is>
      </c>
      <c r="P172" s="2" t="inlineStr">
        <is>
          <t>not_started</t>
        </is>
      </c>
      <c r="Q172" s="2" t="inlineStr">
        <is>
          <t>not_started</t>
        </is>
      </c>
      <c r="R172" s="2" t="n"/>
      <c r="S172" s="2" t="n"/>
      <c r="T172" s="3" t="inlineStr">
        <is>
          <t>ADDED Rev14 - verify</t>
        </is>
      </c>
      <c r="U172" s="2" t="inlineStr">
        <is>
          <t>12 Lighting</t>
        </is>
      </c>
      <c r="V172" s="2" t="n">
        <v>35</v>
      </c>
      <c r="W172" s="5" t="n">
        <v>46272.71894670274</v>
      </c>
      <c r="X172" s="2" t="inlineStr">
        <is>
          <t>system</t>
        </is>
      </c>
      <c r="Y172" s="2" t="inlineStr">
        <is>
          <t>5571e936-d09d-592f-9d6a-a530cc22db85</t>
        </is>
      </c>
    </row>
    <row r="173">
      <c r="A173" s="6" t="inlineStr">
        <is>
          <t>12</t>
        </is>
      </c>
      <c r="B173" s="6" t="inlineStr">
        <is>
          <t>Lighting</t>
        </is>
      </c>
      <c r="C173" s="6" t="n">
        <v>172</v>
      </c>
      <c r="D173" s="7" t="inlineStr">
        <is>
          <t>Lighting Control System (Lutron)</t>
        </is>
      </c>
      <c r="E173" s="6" t="inlineStr">
        <is>
          <t>22</t>
        </is>
      </c>
      <c r="F173" s="6" t="n"/>
      <c r="G173" s="7" t="inlineStr">
        <is>
          <t>Nova T 15A GFCI self-test TR, black (ADD)</t>
        </is>
      </c>
      <c r="H173" s="7" t="inlineStr">
        <is>
          <t>Guestroom</t>
        </is>
      </c>
      <c r="I173" s="6" t="inlineStr">
        <is>
          <t>Lutron</t>
        </is>
      </c>
      <c r="J173" s="6" t="inlineStr">
        <is>
          <t>NTR-15-GFST-BL</t>
        </is>
      </c>
      <c r="K173" s="8" t="n">
        <v>3</v>
      </c>
      <c r="L173" s="6" t="n"/>
      <c r="M173" s="6" t="inlineStr">
        <is>
          <t>pc</t>
        </is>
      </c>
      <c r="N173" s="6" t="inlineStr">
        <is>
          <t>Quote Rev14</t>
        </is>
      </c>
      <c r="O173" s="6" t="inlineStr">
        <is>
          <t>in_progress</t>
        </is>
      </c>
      <c r="P173" s="6" t="inlineStr">
        <is>
          <t>not_started</t>
        </is>
      </c>
      <c r="Q173" s="6" t="inlineStr">
        <is>
          <t>not_started</t>
        </is>
      </c>
      <c r="R173" s="6" t="n"/>
      <c r="S173" s="6" t="n"/>
      <c r="T173" s="7" t="inlineStr">
        <is>
          <t>ADDED Rev14 - verify</t>
        </is>
      </c>
      <c r="U173" s="6" t="inlineStr">
        <is>
          <t>12 Lighting</t>
        </is>
      </c>
      <c r="V173" s="6" t="n">
        <v>36</v>
      </c>
      <c r="W173" s="9" t="n">
        <v>46272.71894670274</v>
      </c>
      <c r="X173" s="6" t="inlineStr">
        <is>
          <t>system</t>
        </is>
      </c>
      <c r="Y173" s="6" t="inlineStr">
        <is>
          <t>36fc42f2-1355-5872-8540-18b6e7c5128f</t>
        </is>
      </c>
    </row>
    <row r="174">
      <c r="A174" s="2" t="inlineStr">
        <is>
          <t>12</t>
        </is>
      </c>
      <c r="B174" s="2" t="inlineStr">
        <is>
          <t>Lighting</t>
        </is>
      </c>
      <c r="C174" s="2" t="n">
        <v>173</v>
      </c>
      <c r="D174" s="3" t="inlineStr">
        <is>
          <t>Lighting Control System (Lutron)</t>
        </is>
      </c>
      <c r="E174" s="2" t="inlineStr">
        <is>
          <t>23</t>
        </is>
      </c>
      <c r="F174" s="2" t="n"/>
      <c r="G174" s="3" t="inlineStr">
        <is>
          <t>Architectural 1-gang plate, satin brass (ADD)</t>
        </is>
      </c>
      <c r="H174" s="3" t="inlineStr">
        <is>
          <t>Guestroom</t>
        </is>
      </c>
      <c r="I174" s="2" t="inlineStr">
        <is>
          <t>Lutron</t>
        </is>
      </c>
      <c r="J174" s="2" t="inlineStr">
        <is>
          <t>NT-R3-NFB-SB</t>
        </is>
      </c>
      <c r="K174" s="4" t="n">
        <v>3</v>
      </c>
      <c r="L174" s="2" t="n"/>
      <c r="M174" s="2" t="inlineStr">
        <is>
          <t>pc</t>
        </is>
      </c>
      <c r="N174" s="2" t="inlineStr">
        <is>
          <t>Quote Rev14</t>
        </is>
      </c>
      <c r="O174" s="2" t="inlineStr">
        <is>
          <t>in_progress</t>
        </is>
      </c>
      <c r="P174" s="2" t="inlineStr">
        <is>
          <t>not_started</t>
        </is>
      </c>
      <c r="Q174" s="2" t="inlineStr">
        <is>
          <t>not_started</t>
        </is>
      </c>
      <c r="R174" s="10" t="inlineStr">
        <is>
          <t>https://assets.lutron.com/a/documents/369921.pdf</t>
        </is>
      </c>
      <c r="S174" s="2" t="n"/>
      <c r="T174" s="3" t="inlineStr">
        <is>
          <t>ADDED Rev14 - desc contradictory</t>
        </is>
      </c>
      <c r="U174" s="2" t="inlineStr">
        <is>
          <t>12 Lighting</t>
        </is>
      </c>
      <c r="V174" s="2" t="n">
        <v>37</v>
      </c>
      <c r="W174" s="5" t="n">
        <v>46272.71894670274</v>
      </c>
      <c r="X174" s="2" t="inlineStr">
        <is>
          <t>system</t>
        </is>
      </c>
      <c r="Y174" s="2" t="inlineStr">
        <is>
          <t>36889866-38d5-5e9d-aad4-2313d1190cc3</t>
        </is>
      </c>
    </row>
    <row r="175">
      <c r="A175" s="6" t="inlineStr">
        <is>
          <t>12</t>
        </is>
      </c>
      <c r="B175" s="6" t="inlineStr">
        <is>
          <t>Lighting</t>
        </is>
      </c>
      <c r="C175" s="6" t="n">
        <v>174</v>
      </c>
      <c r="D175" s="7" t="inlineStr">
        <is>
          <t>Lighting Control System (Lutron)</t>
        </is>
      </c>
      <c r="E175" s="6" t="inlineStr">
        <is>
          <t>24</t>
        </is>
      </c>
      <c r="F175" s="6" t="n"/>
      <c r="G175" s="7" t="inlineStr">
        <is>
          <t>Grafik Eye Class-2 LV cable, 5-cond, 500 ft (ADD)</t>
        </is>
      </c>
      <c r="H175" s="7" t="inlineStr">
        <is>
          <t>-</t>
        </is>
      </c>
      <c r="I175" s="6" t="inlineStr">
        <is>
          <t>Lutron</t>
        </is>
      </c>
      <c r="J175" s="6" t="inlineStr">
        <is>
          <t>GRX-CBL-46L-500</t>
        </is>
      </c>
      <c r="K175" s="8" t="n">
        <v>1</v>
      </c>
      <c r="L175" s="6" t="n"/>
      <c r="M175" s="6" t="inlineStr">
        <is>
          <t>spool</t>
        </is>
      </c>
      <c r="N175" s="6" t="inlineStr">
        <is>
          <t>Quote Rev14</t>
        </is>
      </c>
      <c r="O175" s="6" t="inlineStr">
        <is>
          <t>in_progress</t>
        </is>
      </c>
      <c r="P175" s="6" t="inlineStr">
        <is>
          <t>not_started</t>
        </is>
      </c>
      <c r="Q175" s="6" t="inlineStr">
        <is>
          <t>not_started</t>
        </is>
      </c>
      <c r="R175" s="10" t="inlineStr">
        <is>
          <t>https://assets.lutron.com/a/documents/366-790.pdf</t>
        </is>
      </c>
      <c r="S175" s="6" t="n"/>
      <c r="T175" s="7" t="inlineStr">
        <is>
          <t>ADDED Rev14</t>
        </is>
      </c>
      <c r="U175" s="6" t="inlineStr">
        <is>
          <t>12 Lighting</t>
        </is>
      </c>
      <c r="V175" s="6" t="n">
        <v>38</v>
      </c>
      <c r="W175" s="9" t="n">
        <v>46272.71894670274</v>
      </c>
      <c r="X175" s="6" t="inlineStr">
        <is>
          <t>system</t>
        </is>
      </c>
      <c r="Y175" s="6" t="inlineStr">
        <is>
          <t>4742b5df-1e64-5e18-9bb2-3d29aeddd5e3</t>
        </is>
      </c>
    </row>
    <row r="176">
      <c r="A176" s="2" t="inlineStr">
        <is>
          <t>12</t>
        </is>
      </c>
      <c r="B176" s="2" t="inlineStr">
        <is>
          <t>Lighting</t>
        </is>
      </c>
      <c r="C176" s="2" t="n">
        <v>175</v>
      </c>
      <c r="D176" s="3" t="inlineStr">
        <is>
          <t>Lighting Control System (Lutron)</t>
        </is>
      </c>
      <c r="E176" s="2" t="inlineStr">
        <is>
          <t>25</t>
        </is>
      </c>
      <c r="F176" s="2" t="n"/>
      <c r="G176" s="3" t="inlineStr">
        <is>
          <t>Factory commissioning by Lutron Engineering (ADD)</t>
        </is>
      </c>
      <c r="H176" s="3" t="inlineStr">
        <is>
          <t>-</t>
        </is>
      </c>
      <c r="I176" s="2" t="inlineStr">
        <is>
          <t>Lutron</t>
        </is>
      </c>
      <c r="J176" s="2" t="inlineStr">
        <is>
          <t>Factory Commissioning</t>
        </is>
      </c>
      <c r="K176" s="4" t="n">
        <v>1</v>
      </c>
      <c r="L176" s="2" t="n"/>
      <c r="M176" s="2" t="inlineStr">
        <is>
          <t>ls</t>
        </is>
      </c>
      <c r="N176" s="2" t="inlineStr">
        <is>
          <t>Quote Rev14</t>
        </is>
      </c>
      <c r="O176" s="2" t="inlineStr">
        <is>
          <t>in_progress</t>
        </is>
      </c>
      <c r="P176" s="2" t="inlineStr">
        <is>
          <t>not_started</t>
        </is>
      </c>
      <c r="Q176" s="2" t="inlineStr">
        <is>
          <t>not_started</t>
        </is>
      </c>
      <c r="R176" s="2" t="n"/>
      <c r="S176" s="2" t="n"/>
      <c r="T176" s="3" t="inlineStr">
        <is>
          <t>service line</t>
        </is>
      </c>
      <c r="U176" s="2" t="inlineStr">
        <is>
          <t>12 Lighting</t>
        </is>
      </c>
      <c r="V176" s="2" t="n">
        <v>39</v>
      </c>
      <c r="W176" s="5" t="n">
        <v>46272.71894670274</v>
      </c>
      <c r="X176" s="2" t="inlineStr">
        <is>
          <t>system</t>
        </is>
      </c>
      <c r="Y176" s="2" t="inlineStr">
        <is>
          <t>6677cfb9-aa06-5827-bd43-684552fa12e3</t>
        </is>
      </c>
    </row>
    <row r="177">
      <c r="A177" s="6" t="inlineStr">
        <is>
          <t>12</t>
        </is>
      </c>
      <c r="B177" s="6" t="inlineStr">
        <is>
          <t>Lighting</t>
        </is>
      </c>
      <c r="C177" s="6" t="n">
        <v>176</v>
      </c>
      <c r="D177" s="7" t="inlineStr">
        <is>
          <t>Lighting Control System (Lutron)</t>
        </is>
      </c>
      <c r="E177" s="6" t="inlineStr">
        <is>
          <t>3</t>
        </is>
      </c>
      <c r="F177" s="6" t="n"/>
      <c r="G177" s="7" t="inlineStr">
        <is>
          <t>HWQS feed-through DIN rough-in panel</t>
        </is>
      </c>
      <c r="H177" s="7" t="inlineStr">
        <is>
          <t>MEP</t>
        </is>
      </c>
      <c r="I177" s="6" t="inlineStr">
        <is>
          <t>Lutron</t>
        </is>
      </c>
      <c r="J177" s="6" t="inlineStr">
        <is>
          <t>PD4-36F-120</t>
        </is>
      </c>
      <c r="K177" s="8" t="n">
        <v>1</v>
      </c>
      <c r="L177" s="6" t="n"/>
      <c r="M177" s="6" t="inlineStr">
        <is>
          <t>pc</t>
        </is>
      </c>
      <c r="N177" s="6" t="inlineStr">
        <is>
          <t>Report Pkg Rev5</t>
        </is>
      </c>
      <c r="O177" s="6" t="inlineStr">
        <is>
          <t>complete</t>
        </is>
      </c>
      <c r="P177" s="6" t="inlineStr">
        <is>
          <t>not_started</t>
        </is>
      </c>
      <c r="Q177" s="6" t="inlineStr">
        <is>
          <t>not_started</t>
        </is>
      </c>
      <c r="R177" s="6" t="n"/>
      <c r="S177" s="6" t="n"/>
      <c r="T177" s="7" t="n"/>
      <c r="U177" s="6" t="inlineStr">
        <is>
          <t>12 Lighting</t>
        </is>
      </c>
      <c r="V177" s="6" t="n">
        <v>40</v>
      </c>
      <c r="W177" s="9" t="n">
        <v>46272.71894670274</v>
      </c>
      <c r="X177" s="6" t="inlineStr">
        <is>
          <t>system</t>
        </is>
      </c>
      <c r="Y177" s="6" t="inlineStr">
        <is>
          <t>3bf1f474-5393-53ad-acf0-b0d3491f1dce</t>
        </is>
      </c>
    </row>
    <row r="178">
      <c r="A178" s="2" t="inlineStr">
        <is>
          <t>12</t>
        </is>
      </c>
      <c r="B178" s="2" t="inlineStr">
        <is>
          <t>Lighting</t>
        </is>
      </c>
      <c r="C178" s="2" t="n">
        <v>177</v>
      </c>
      <c r="D178" s="3" t="inlineStr">
        <is>
          <t>Lighting Control System (Lutron)</t>
        </is>
      </c>
      <c r="E178" s="2" t="inlineStr">
        <is>
          <t>4</t>
        </is>
      </c>
      <c r="F178" s="2" t="n"/>
      <c r="G178" s="3" t="inlineStr">
        <is>
          <t>4-zone adaptive phase-dim power module, 1A</t>
        </is>
      </c>
      <c r="H178" s="3" t="inlineStr">
        <is>
          <t>MEP</t>
        </is>
      </c>
      <c r="I178" s="2" t="inlineStr">
        <is>
          <t>Lutron</t>
        </is>
      </c>
      <c r="J178" s="2" t="inlineStr">
        <is>
          <t>MQSE-4A1-D</t>
        </is>
      </c>
      <c r="K178" s="4" t="n">
        <v>2</v>
      </c>
      <c r="L178" s="2" t="n"/>
      <c r="M178" s="2" t="inlineStr">
        <is>
          <t>pc</t>
        </is>
      </c>
      <c r="N178" s="2" t="inlineStr">
        <is>
          <t>Report Pkg Rev5</t>
        </is>
      </c>
      <c r="O178" s="2" t="inlineStr">
        <is>
          <t>complete</t>
        </is>
      </c>
      <c r="P178" s="2" t="inlineStr">
        <is>
          <t>not_started</t>
        </is>
      </c>
      <c r="Q178" s="2" t="inlineStr">
        <is>
          <t>not_started</t>
        </is>
      </c>
      <c r="R178" s="10" t="inlineStr">
        <is>
          <t>https://support.lutron.com/us/en/product/myroom-xc/component/load-controllers/phase-dimming/mqse-4a1-d/documents/product-specification-submittals</t>
        </is>
      </c>
      <c r="S178" s="2" t="n"/>
      <c r="T178" s="3" t="n"/>
      <c r="U178" s="2" t="inlineStr">
        <is>
          <t>12 Lighting</t>
        </is>
      </c>
      <c r="V178" s="2" t="n">
        <v>41</v>
      </c>
      <c r="W178" s="5" t="n">
        <v>46272.71894670274</v>
      </c>
      <c r="X178" s="2" t="inlineStr">
        <is>
          <t>system</t>
        </is>
      </c>
      <c r="Y178" s="2" t="inlineStr">
        <is>
          <t>03e4ebd5-e8e0-5723-92f7-7edb211493c9</t>
        </is>
      </c>
    </row>
    <row r="179">
      <c r="A179" s="6" t="inlineStr">
        <is>
          <t>12</t>
        </is>
      </c>
      <c r="B179" s="6" t="inlineStr">
        <is>
          <t>Lighting</t>
        </is>
      </c>
      <c r="C179" s="6" t="n">
        <v>178</v>
      </c>
      <c r="D179" s="7" t="inlineStr">
        <is>
          <t>Lighting Control System (Lutron)</t>
        </is>
      </c>
      <c r="E179" s="6" t="inlineStr">
        <is>
          <t>5</t>
        </is>
      </c>
      <c r="F179" s="6" t="n"/>
      <c r="G179" s="7" t="inlineStr">
        <is>
          <t>2-zone switching power module, 1A</t>
        </is>
      </c>
      <c r="H179" s="7" t="inlineStr">
        <is>
          <t>MEP</t>
        </is>
      </c>
      <c r="I179" s="6" t="inlineStr">
        <is>
          <t>Lutron</t>
        </is>
      </c>
      <c r="J179" s="6" t="inlineStr">
        <is>
          <t>MQSE-2S1-D</t>
        </is>
      </c>
      <c r="K179" s="8" t="n">
        <v>1</v>
      </c>
      <c r="L179" s="6" t="n"/>
      <c r="M179" s="6" t="inlineStr">
        <is>
          <t>pc</t>
        </is>
      </c>
      <c r="N179" s="6" t="inlineStr">
        <is>
          <t>Report Pkg Rev5</t>
        </is>
      </c>
      <c r="O179" s="6" t="inlineStr">
        <is>
          <t>complete</t>
        </is>
      </c>
      <c r="P179" s="6" t="inlineStr">
        <is>
          <t>not_started</t>
        </is>
      </c>
      <c r="Q179" s="6" t="inlineStr">
        <is>
          <t>not_started</t>
        </is>
      </c>
      <c r="R179" s="6" t="n"/>
      <c r="S179" s="6" t="n"/>
      <c r="T179" s="7" t="n"/>
      <c r="U179" s="6" t="inlineStr">
        <is>
          <t>12 Lighting</t>
        </is>
      </c>
      <c r="V179" s="6" t="n">
        <v>42</v>
      </c>
      <c r="W179" s="9" t="n">
        <v>46272.71894670274</v>
      </c>
      <c r="X179" s="6" t="inlineStr">
        <is>
          <t>system</t>
        </is>
      </c>
      <c r="Y179" s="6" t="inlineStr">
        <is>
          <t>74528996-8ea4-5943-817a-2adf1c829ff5</t>
        </is>
      </c>
    </row>
    <row r="180">
      <c r="A180" s="2" t="inlineStr">
        <is>
          <t>12</t>
        </is>
      </c>
      <c r="B180" s="2" t="inlineStr">
        <is>
          <t>Lighting</t>
        </is>
      </c>
      <c r="C180" s="2" t="n">
        <v>179</v>
      </c>
      <c r="D180" s="3" t="inlineStr">
        <is>
          <t>Lighting Control System (Lutron)</t>
        </is>
      </c>
      <c r="E180" s="2" t="inlineStr">
        <is>
          <t>6</t>
        </is>
      </c>
      <c r="F180" s="2" t="n"/>
      <c r="G180" s="3" t="inlineStr">
        <is>
          <t>Energi Savr Node universal DALI, 1 loop</t>
        </is>
      </c>
      <c r="H180" s="3" t="inlineStr">
        <is>
          <t>MEP</t>
        </is>
      </c>
      <c r="I180" s="2" t="inlineStr">
        <is>
          <t>Lutron</t>
        </is>
      </c>
      <c r="J180" s="2" t="inlineStr">
        <is>
          <t>QSN-1DALUNV-D</t>
        </is>
      </c>
      <c r="K180" s="4" t="n">
        <v>1</v>
      </c>
      <c r="L180" s="2" t="n"/>
      <c r="M180" s="2" t="inlineStr">
        <is>
          <t>pc</t>
        </is>
      </c>
      <c r="N180" s="2" t="inlineStr">
        <is>
          <t>Report Pkg Rev5</t>
        </is>
      </c>
      <c r="O180" s="2" t="inlineStr">
        <is>
          <t>complete</t>
        </is>
      </c>
      <c r="P180" s="2" t="inlineStr">
        <is>
          <t>not_started</t>
        </is>
      </c>
      <c r="Q180" s="2" t="inlineStr">
        <is>
          <t>not_started</t>
        </is>
      </c>
      <c r="R180" s="10" t="inlineStr">
        <is>
          <t>https://assets.lutron.com/a/documents/3691142.pdf</t>
        </is>
      </c>
      <c r="S180" s="2" t="n"/>
      <c r="T180" s="3" t="inlineStr">
        <is>
          <t>DISCREPANCY: Rev14 lists QSN2-1DALUNV-D</t>
        </is>
      </c>
      <c r="U180" s="2" t="inlineStr">
        <is>
          <t>12 Lighting</t>
        </is>
      </c>
      <c r="V180" s="2" t="n">
        <v>43</v>
      </c>
      <c r="W180" s="5" t="n">
        <v>46272.71894670274</v>
      </c>
      <c r="X180" s="2" t="inlineStr">
        <is>
          <t>system</t>
        </is>
      </c>
      <c r="Y180" s="2" t="inlineStr">
        <is>
          <t>0ac34537-3fc1-5a5f-897c-99979ea00a6c</t>
        </is>
      </c>
    </row>
    <row r="181">
      <c r="A181" s="6" t="inlineStr">
        <is>
          <t>12</t>
        </is>
      </c>
      <c r="B181" s="6" t="inlineStr">
        <is>
          <t>Lighting</t>
        </is>
      </c>
      <c r="C181" s="6" t="n">
        <v>180</v>
      </c>
      <c r="D181" s="7" t="inlineStr">
        <is>
          <t>Lighting Control System (Lutron)</t>
        </is>
      </c>
      <c r="E181" s="6" t="inlineStr">
        <is>
          <t>7</t>
        </is>
      </c>
      <c r="F181" s="6" t="n"/>
      <c r="G181" s="7" t="inlineStr">
        <is>
          <t>Alisse 1-column keypad, custom color</t>
        </is>
      </c>
      <c r="H181" s="7" t="inlineStr">
        <is>
          <t>Guestroom</t>
        </is>
      </c>
      <c r="I181" s="6" t="inlineStr">
        <is>
          <t>Lutron</t>
        </is>
      </c>
      <c r="J181" s="6" t="inlineStr">
        <is>
          <t>HW-NW-KP-S1-E</t>
        </is>
      </c>
      <c r="K181" s="8" t="n">
        <v>7</v>
      </c>
      <c r="L181" s="6" t="n"/>
      <c r="M181" s="6" t="inlineStr">
        <is>
          <t>pc</t>
        </is>
      </c>
      <c r="N181" s="6" t="inlineStr">
        <is>
          <t>Report Pkg Rev5</t>
        </is>
      </c>
      <c r="O181" s="6" t="inlineStr">
        <is>
          <t>complete</t>
        </is>
      </c>
      <c r="P181" s="6" t="inlineStr">
        <is>
          <t>not_started</t>
        </is>
      </c>
      <c r="Q181" s="6" t="inlineStr">
        <is>
          <t>not_started</t>
        </is>
      </c>
      <c r="R181" s="10" t="inlineStr">
        <is>
          <t>https://assets.lutron.com/a/documents/3691154_eng.pdf</t>
        </is>
      </c>
      <c r="S181" s="6" t="n"/>
      <c r="T181" s="7" t="n"/>
      <c r="U181" s="6" t="inlineStr">
        <is>
          <t>12 Lighting</t>
        </is>
      </c>
      <c r="V181" s="6" t="n">
        <v>44</v>
      </c>
      <c r="W181" s="9" t="n">
        <v>46272.71894670274</v>
      </c>
      <c r="X181" s="6" t="inlineStr">
        <is>
          <t>system</t>
        </is>
      </c>
      <c r="Y181" s="6" t="inlineStr">
        <is>
          <t>f6147b25-4ca2-5d78-8320-c8d6eff6133d</t>
        </is>
      </c>
    </row>
    <row r="182">
      <c r="A182" s="2" t="inlineStr">
        <is>
          <t>12</t>
        </is>
      </c>
      <c r="B182" s="2" t="inlineStr">
        <is>
          <t>Lighting</t>
        </is>
      </c>
      <c r="C182" s="2" t="n">
        <v>181</v>
      </c>
      <c r="D182" s="3" t="inlineStr">
        <is>
          <t>Lighting Control System (Lutron)</t>
        </is>
      </c>
      <c r="E182" s="2" t="inlineStr">
        <is>
          <t>8</t>
        </is>
      </c>
      <c r="F182" s="2" t="n"/>
      <c r="G182" s="3" t="inlineStr">
        <is>
          <t>Alisse 2-column keypad, custom color</t>
        </is>
      </c>
      <c r="H182" s="3" t="inlineStr">
        <is>
          <t>Guestroom</t>
        </is>
      </c>
      <c r="I182" s="2" t="inlineStr">
        <is>
          <t>Lutron</t>
        </is>
      </c>
      <c r="J182" s="2" t="inlineStr">
        <is>
          <t>HW-NW-KP-S2-E</t>
        </is>
      </c>
      <c r="K182" s="4" t="n">
        <v>3</v>
      </c>
      <c r="L182" s="2" t="n"/>
      <c r="M182" s="2" t="inlineStr">
        <is>
          <t>pc</t>
        </is>
      </c>
      <c r="N182" s="2" t="inlineStr">
        <is>
          <t>Report Pkg Rev5</t>
        </is>
      </c>
      <c r="O182" s="2" t="inlineStr">
        <is>
          <t>complete</t>
        </is>
      </c>
      <c r="P182" s="2" t="inlineStr">
        <is>
          <t>not_started</t>
        </is>
      </c>
      <c r="Q182" s="2" t="inlineStr">
        <is>
          <t>not_started</t>
        </is>
      </c>
      <c r="R182" s="10" t="inlineStr">
        <is>
          <t>https://assets.lutron.com/a/documents/3691154_eng.pdf</t>
        </is>
      </c>
      <c r="S182" s="2" t="n"/>
      <c r="T182" s="3" t="n"/>
      <c r="U182" s="2" t="inlineStr">
        <is>
          <t>12 Lighting</t>
        </is>
      </c>
      <c r="V182" s="2" t="n">
        <v>45</v>
      </c>
      <c r="W182" s="5" t="n">
        <v>46272.71894670274</v>
      </c>
      <c r="X182" s="2" t="inlineStr">
        <is>
          <t>system</t>
        </is>
      </c>
      <c r="Y182" s="2" t="inlineStr">
        <is>
          <t>8837f77f-dd60-5a09-9a0d-17779847f62b</t>
        </is>
      </c>
    </row>
    <row r="183">
      <c r="A183" s="6" t="inlineStr">
        <is>
          <t>12</t>
        </is>
      </c>
      <c r="B183" s="6" t="inlineStr">
        <is>
          <t>Lighting</t>
        </is>
      </c>
      <c r="C183" s="6" t="n">
        <v>182</v>
      </c>
      <c r="D183" s="7" t="inlineStr">
        <is>
          <t>Lighting Control System (Lutron)</t>
        </is>
      </c>
      <c r="E183" s="6" t="inlineStr">
        <is>
          <t>9</t>
        </is>
      </c>
      <c r="F183" s="6" t="n"/>
      <c r="G183" s="7" t="inlineStr">
        <is>
          <t>Alisse QS keypad mounting base</t>
        </is>
      </c>
      <c r="H183" s="7" t="inlineStr">
        <is>
          <t>Guestroom</t>
        </is>
      </c>
      <c r="I183" s="6" t="inlineStr">
        <is>
          <t>Lutron</t>
        </is>
      </c>
      <c r="J183" s="6" t="inlineStr">
        <is>
          <t>HW-QS-B-S1</t>
        </is>
      </c>
      <c r="K183" s="8" t="n">
        <v>10</v>
      </c>
      <c r="L183" s="6" t="n"/>
      <c r="M183" s="6" t="inlineStr">
        <is>
          <t>pc</t>
        </is>
      </c>
      <c r="N183" s="6" t="inlineStr">
        <is>
          <t>Report Pkg Rev5</t>
        </is>
      </c>
      <c r="O183" s="6" t="inlineStr">
        <is>
          <t>complete</t>
        </is>
      </c>
      <c r="P183" s="6" t="inlineStr">
        <is>
          <t>not_started</t>
        </is>
      </c>
      <c r="Q183" s="6" t="inlineStr">
        <is>
          <t>not_started</t>
        </is>
      </c>
      <c r="R183" s="6" t="n"/>
      <c r="S183" s="6" t="n"/>
      <c r="T183" s="7" t="n"/>
      <c r="U183" s="6" t="inlineStr">
        <is>
          <t>12 Lighting</t>
        </is>
      </c>
      <c r="V183" s="6" t="n">
        <v>46</v>
      </c>
      <c r="W183" s="9" t="n">
        <v>46272.71894670274</v>
      </c>
      <c r="X183" s="6" t="inlineStr">
        <is>
          <t>system</t>
        </is>
      </c>
      <c r="Y183" s="6" t="inlineStr">
        <is>
          <t>6081333a-7295-5442-9316-251678f4cdd8</t>
        </is>
      </c>
    </row>
    <row r="184">
      <c r="A184" s="2" t="inlineStr">
        <is>
          <t>13</t>
        </is>
      </c>
      <c r="B184" s="2" t="inlineStr">
        <is>
          <t>HVAC &amp; Mechanical</t>
        </is>
      </c>
      <c r="C184" s="2" t="n">
        <v>183</v>
      </c>
      <c r="D184" s="3" t="inlineStr">
        <is>
          <t>Air Distribution</t>
        </is>
      </c>
      <c r="E184" s="2" t="inlineStr">
        <is>
          <t>HVC-03 | S/R</t>
        </is>
      </c>
      <c r="F184" s="2" t="n"/>
      <c r="G184" s="3" t="inlineStr">
        <is>
          <t>Supply air grille, opposed blade damper</t>
        </is>
      </c>
      <c r="H184" s="3" t="inlineStr">
        <is>
          <t>Ceiling</t>
        </is>
      </c>
      <c r="I184" s="2" t="inlineStr">
        <is>
          <t>Titus</t>
        </is>
      </c>
      <c r="J184" s="2" t="inlineStr">
        <is>
          <t>272FL</t>
        </is>
      </c>
      <c r="K184" s="4" t="n">
        <v>0</v>
      </c>
      <c r="L184" s="2" t="n"/>
      <c r="M184" s="2" t="inlineStr">
        <is>
          <t>pc</t>
        </is>
      </c>
      <c r="N184" s="2" t="inlineStr">
        <is>
          <t>GP1-AC-01</t>
        </is>
      </c>
      <c r="O184" s="2" t="inlineStr">
        <is>
          <t>not_started</t>
        </is>
      </c>
      <c r="P184" s="2" t="inlineStr">
        <is>
          <t>not_started</t>
        </is>
      </c>
      <c r="Q184" s="2" t="inlineStr">
        <is>
          <t>not_started</t>
        </is>
      </c>
      <c r="R184" s="10" t="inlineStr">
        <is>
          <t>https://www.titus-hvac.com/products/Grilles/272FL</t>
        </is>
      </c>
      <c r="S184" s="2" t="n"/>
      <c r="T184" s="3" t="inlineStr">
        <is>
          <t>Supply grille (S/R, Titus 272FL). 0 on GP1 mock-up plan — AC-01 schedule type not used in this room (full AC-1 plan checked).</t>
        </is>
      </c>
      <c r="U184" s="2" t="inlineStr">
        <is>
          <t>13 HVAC &amp; Mechanical</t>
        </is>
      </c>
      <c r="V184" s="2" t="n">
        <v>5</v>
      </c>
      <c r="W184" s="5" t="n">
        <v>46272.71894670274</v>
      </c>
      <c r="X184" s="2" t="inlineStr">
        <is>
          <t>system</t>
        </is>
      </c>
      <c r="Y184" s="2" t="inlineStr">
        <is>
          <t>e1f51b59-5cbb-5a29-896f-1a4c8adc2114</t>
        </is>
      </c>
    </row>
    <row r="185">
      <c r="A185" s="6" t="inlineStr">
        <is>
          <t>13</t>
        </is>
      </c>
      <c r="B185" s="6" t="inlineStr">
        <is>
          <t>HVAC &amp; Mechanical</t>
        </is>
      </c>
      <c r="C185" s="6" t="n">
        <v>184</v>
      </c>
      <c r="D185" s="7" t="inlineStr">
        <is>
          <t>Air Distribution</t>
        </is>
      </c>
      <c r="E185" s="6" t="inlineStr">
        <is>
          <t>HVC-03 | R/R</t>
        </is>
      </c>
      <c r="F185" s="6" t="n"/>
      <c r="G185" s="7" t="inlineStr">
        <is>
          <t>Return air grille, opposed blade damper</t>
        </is>
      </c>
      <c r="H185" s="7" t="inlineStr">
        <is>
          <t>Ceiling</t>
        </is>
      </c>
      <c r="I185" s="6" t="inlineStr">
        <is>
          <t>Titus</t>
        </is>
      </c>
      <c r="J185" s="6" t="inlineStr">
        <is>
          <t>272FL</t>
        </is>
      </c>
      <c r="K185" s="8" t="n">
        <v>0</v>
      </c>
      <c r="L185" s="6" t="n"/>
      <c r="M185" s="6" t="inlineStr">
        <is>
          <t>pc</t>
        </is>
      </c>
      <c r="N185" s="6" t="inlineStr">
        <is>
          <t>GP1-AC-01</t>
        </is>
      </c>
      <c r="O185" s="6" t="inlineStr">
        <is>
          <t>not_started</t>
        </is>
      </c>
      <c r="P185" s="6" t="inlineStr">
        <is>
          <t>not_started</t>
        </is>
      </c>
      <c r="Q185" s="6" t="inlineStr">
        <is>
          <t>not_started</t>
        </is>
      </c>
      <c r="R185" s="10" t="inlineStr">
        <is>
          <t>https://www.titus-hvac.com/products/Grilles/272FL</t>
        </is>
      </c>
      <c r="S185" s="6" t="n"/>
      <c r="T185" s="7" t="inlineStr">
        <is>
          <t>Return grille (R/R, Titus 272FL). 0 on GP1 mock-up plan — AC-01 schedule type not used in this room (full AC-1 plan checked).</t>
        </is>
      </c>
      <c r="U185" s="6" t="inlineStr">
        <is>
          <t>13 HVAC &amp; Mechanical</t>
        </is>
      </c>
      <c r="V185" s="6" t="n">
        <v>6</v>
      </c>
      <c r="W185" s="9" t="n">
        <v>46272.71894670274</v>
      </c>
      <c r="X185" s="6" t="inlineStr">
        <is>
          <t>system</t>
        </is>
      </c>
      <c r="Y185" s="6" t="inlineStr">
        <is>
          <t>0dc67f15-7960-5ca0-a26d-251d52472a73</t>
        </is>
      </c>
    </row>
    <row r="186">
      <c r="A186" s="2" t="inlineStr">
        <is>
          <t>13</t>
        </is>
      </c>
      <c r="B186" s="2" t="inlineStr">
        <is>
          <t>HVAC &amp; Mechanical</t>
        </is>
      </c>
      <c r="C186" s="2" t="n">
        <v>185</v>
      </c>
      <c r="D186" s="3" t="inlineStr">
        <is>
          <t>Air Distribution</t>
        </is>
      </c>
      <c r="E186" s="2" t="inlineStr">
        <is>
          <t>HVC-03 | S/R1</t>
        </is>
      </c>
      <c r="F186" s="2" t="n"/>
      <c r="G186" s="3" t="inlineStr">
        <is>
          <t>Supply linear bar diffuser, border Type 11, 0° deflection, AG-35-AA OBD</t>
        </is>
      </c>
      <c r="H186" s="3" t="inlineStr">
        <is>
          <t>Ceiling</t>
        </is>
      </c>
      <c r="I186" s="2" t="inlineStr">
        <is>
          <t>Titus</t>
        </is>
      </c>
      <c r="J186" s="2" t="inlineStr">
        <is>
          <t>CT-540</t>
        </is>
      </c>
      <c r="K186" s="4" t="n">
        <v>0</v>
      </c>
      <c r="L186" s="2" t="n"/>
      <c r="M186" s="2" t="inlineStr">
        <is>
          <t>pc</t>
        </is>
      </c>
      <c r="N186" s="2" t="inlineStr">
        <is>
          <t>GP1-AC-01</t>
        </is>
      </c>
      <c r="O186" s="2" t="inlineStr">
        <is>
          <t>not_started</t>
        </is>
      </c>
      <c r="P186" s="2" t="inlineStr">
        <is>
          <t>not_started</t>
        </is>
      </c>
      <c r="Q186" s="2" t="inlineStr">
        <is>
          <t>not_started</t>
        </is>
      </c>
      <c r="R186" s="10" t="inlineStr">
        <is>
          <t>https://www.titus-hvac.com/products/Diffusers/CT-540</t>
        </is>
      </c>
      <c r="S186" s="2" t="n"/>
      <c r="T186" s="3" t="inlineStr">
        <is>
          <t>Supply CT-540 (S/R1). 0 on GP1 mock-up plan — AC-01 schedule type not used in this room (full AC-1 plan checked). On AC-1 the CT-540 devices are returns (R/R1) - see R/R1 row.</t>
        </is>
      </c>
      <c r="U186" s="2" t="inlineStr">
        <is>
          <t>13 HVAC &amp; Mechanical</t>
        </is>
      </c>
      <c r="V186" s="2" t="n">
        <v>7</v>
      </c>
      <c r="W186" s="5" t="n">
        <v>46272.71894670274</v>
      </c>
      <c r="X186" s="2" t="inlineStr">
        <is>
          <t>system</t>
        </is>
      </c>
      <c r="Y186" s="2" t="inlineStr">
        <is>
          <t>931748b5-e711-5824-ad08-2db2520a9086</t>
        </is>
      </c>
    </row>
    <row r="187">
      <c r="A187" s="6" t="inlineStr">
        <is>
          <t>13</t>
        </is>
      </c>
      <c r="B187" s="6" t="inlineStr">
        <is>
          <t>HVAC &amp; Mechanical</t>
        </is>
      </c>
      <c r="C187" s="6" t="n">
        <v>186</v>
      </c>
      <c r="D187" s="7" t="inlineStr">
        <is>
          <t>Air Distribution</t>
        </is>
      </c>
      <c r="E187" s="6" t="inlineStr">
        <is>
          <t>HVC-03 | S/R2</t>
        </is>
      </c>
      <c r="F187" s="6" t="n"/>
      <c r="G187" s="7" t="inlineStr">
        <is>
          <t>Supply linear bar diffuser, Type 11, 15° deflection, OBD</t>
        </is>
      </c>
      <c r="H187" s="7" t="inlineStr">
        <is>
          <t>Ceiling</t>
        </is>
      </c>
      <c r="I187" s="6" t="inlineStr">
        <is>
          <t>Titus</t>
        </is>
      </c>
      <c r="J187" s="6" t="inlineStr">
        <is>
          <t>CT-541</t>
        </is>
      </c>
      <c r="K187" s="8" t="n">
        <v>1</v>
      </c>
      <c r="L187" s="6" t="n"/>
      <c r="M187" s="6" t="inlineStr">
        <is>
          <t>pc</t>
        </is>
      </c>
      <c r="N187" s="6" t="inlineStr">
        <is>
          <t>GP1-AC-01</t>
        </is>
      </c>
      <c r="O187" s="6" t="inlineStr">
        <is>
          <t>not_started</t>
        </is>
      </c>
      <c r="P187" s="6" t="inlineStr">
        <is>
          <t>not_started</t>
        </is>
      </c>
      <c r="Q187" s="6" t="inlineStr">
        <is>
          <t>not_started</t>
        </is>
      </c>
      <c r="R187" s="10" t="inlineStr">
        <is>
          <t>https://www.titus-hvac.com/products/Diffusers/CT-541</t>
        </is>
      </c>
      <c r="S187" s="6" t="n"/>
      <c r="T187" s="7" t="inlineStr">
        <is>
          <t>Confirmed on AC-1: S/R2 12x4, 120 CFM x1.</t>
        </is>
      </c>
      <c r="U187" s="6" t="inlineStr">
        <is>
          <t>13 HVAC &amp; Mechanical</t>
        </is>
      </c>
      <c r="V187" s="6" t="n">
        <v>8</v>
      </c>
      <c r="W187" s="9" t="n">
        <v>46272.71894670274</v>
      </c>
      <c r="X187" s="6" t="inlineStr">
        <is>
          <t>system</t>
        </is>
      </c>
      <c r="Y187" s="6" t="inlineStr">
        <is>
          <t>b5a61e3b-c6e5-5b19-b5a9-3d6a33500de3</t>
        </is>
      </c>
    </row>
    <row r="188">
      <c r="A188" s="2" t="inlineStr">
        <is>
          <t>13</t>
        </is>
      </c>
      <c r="B188" s="2" t="inlineStr">
        <is>
          <t>HVAC &amp; Mechanical</t>
        </is>
      </c>
      <c r="C188" s="2" t="n">
        <v>187</v>
      </c>
      <c r="D188" s="3" t="inlineStr">
        <is>
          <t>Air Distribution</t>
        </is>
      </c>
      <c r="E188" s="2" t="inlineStr">
        <is>
          <t>HVC-03 | C/D</t>
        </is>
      </c>
      <c r="F188" s="2" t="n"/>
      <c r="G188" s="3" t="inlineStr">
        <is>
          <t>Aluminium supply ceiling diffuser, OBD</t>
        </is>
      </c>
      <c r="H188" s="3" t="inlineStr">
        <is>
          <t>Ceiling</t>
        </is>
      </c>
      <c r="I188" s="2" t="inlineStr">
        <is>
          <t>Titus</t>
        </is>
      </c>
      <c r="J188" s="2" t="inlineStr">
        <is>
          <t>TDC-AA</t>
        </is>
      </c>
      <c r="K188" s="4" t="n">
        <v>0</v>
      </c>
      <c r="L188" s="2" t="n"/>
      <c r="M188" s="2" t="inlineStr">
        <is>
          <t>pc</t>
        </is>
      </c>
      <c r="N188" s="2" t="inlineStr">
        <is>
          <t>GP1-AC-01</t>
        </is>
      </c>
      <c r="O188" s="2" t="inlineStr">
        <is>
          <t>not_started</t>
        </is>
      </c>
      <c r="P188" s="2" t="inlineStr">
        <is>
          <t>not_started</t>
        </is>
      </c>
      <c r="Q188" s="2" t="inlineStr">
        <is>
          <t>not_started</t>
        </is>
      </c>
      <c r="R188" s="10" t="inlineStr">
        <is>
          <t>https://www.titus-hvac.com/products/Diffusers/TDC-AA</t>
        </is>
      </c>
      <c r="S188" s="2" t="n"/>
      <c r="T188" s="3" t="inlineStr">
        <is>
          <t>Ceiling diffuser (C/D, TDC-AA). 0 on GP1 mock-up plan — AC-01 schedule type not used in this room (full AC-1 plan checked).</t>
        </is>
      </c>
      <c r="U188" s="2" t="inlineStr">
        <is>
          <t>13 HVAC &amp; Mechanical</t>
        </is>
      </c>
      <c r="V188" s="2" t="n">
        <v>9</v>
      </c>
      <c r="W188" s="5" t="n">
        <v>46272.71894670274</v>
      </c>
      <c r="X188" s="2" t="inlineStr">
        <is>
          <t>system</t>
        </is>
      </c>
      <c r="Y188" s="2" t="inlineStr">
        <is>
          <t>2708ad50-58c8-5bae-b438-9835aaf6d64f</t>
        </is>
      </c>
    </row>
    <row r="189">
      <c r="A189" s="6" t="inlineStr">
        <is>
          <t>13</t>
        </is>
      </c>
      <c r="B189" s="6" t="inlineStr">
        <is>
          <t>HVAC &amp; Mechanical</t>
        </is>
      </c>
      <c r="C189" s="6" t="n">
        <v>188</v>
      </c>
      <c r="D189" s="7" t="inlineStr">
        <is>
          <t>Air Distribution</t>
        </is>
      </c>
      <c r="E189" s="6" t="inlineStr">
        <is>
          <t>HVC-03 | C/R</t>
        </is>
      </c>
      <c r="F189" s="6" t="n"/>
      <c r="G189" s="7" t="inlineStr">
        <is>
          <t>Aluminium return diffuser, double deflection</t>
        </is>
      </c>
      <c r="H189" s="7" t="inlineStr">
        <is>
          <t>Ceiling</t>
        </is>
      </c>
      <c r="I189" s="6" t="inlineStr">
        <is>
          <t>Titus</t>
        </is>
      </c>
      <c r="J189" s="6" t="inlineStr">
        <is>
          <t>55FL</t>
        </is>
      </c>
      <c r="K189" s="8" t="n">
        <v>0</v>
      </c>
      <c r="L189" s="6" t="n"/>
      <c r="M189" s="6" t="inlineStr">
        <is>
          <t>pc</t>
        </is>
      </c>
      <c r="N189" s="6" t="inlineStr">
        <is>
          <t>GP1-AC-01</t>
        </is>
      </c>
      <c r="O189" s="6" t="inlineStr">
        <is>
          <t>not_started</t>
        </is>
      </c>
      <c r="P189" s="6" t="inlineStr">
        <is>
          <t>not_started</t>
        </is>
      </c>
      <c r="Q189" s="6" t="inlineStr">
        <is>
          <t>not_started</t>
        </is>
      </c>
      <c r="R189" s="10" t="inlineStr">
        <is>
          <t>https://www.titus-hvac.com/products/Grilles/55FL</t>
        </is>
      </c>
      <c r="S189" s="6" t="n"/>
      <c r="T189" s="7" t="inlineStr">
        <is>
          <t>Return diffuser (C/R, 55FL). 0 on GP1 mock-up plan — AC-01 schedule type not used in this room (full AC-1 plan checked).</t>
        </is>
      </c>
      <c r="U189" s="6" t="inlineStr">
        <is>
          <t>13 HVAC &amp; Mechanical</t>
        </is>
      </c>
      <c r="V189" s="6" t="n">
        <v>10</v>
      </c>
      <c r="W189" s="9" t="n">
        <v>46272.71894670274</v>
      </c>
      <c r="X189" s="6" t="inlineStr">
        <is>
          <t>system</t>
        </is>
      </c>
      <c r="Y189" s="6" t="inlineStr">
        <is>
          <t>8f8bbe72-853d-5cd5-bef4-94c922f79433</t>
        </is>
      </c>
    </row>
    <row r="190">
      <c r="A190" s="2" t="inlineStr">
        <is>
          <t>13</t>
        </is>
      </c>
      <c r="B190" s="2" t="inlineStr">
        <is>
          <t>HVAC &amp; Mechanical</t>
        </is>
      </c>
      <c r="C190" s="2" t="n">
        <v>189</v>
      </c>
      <c r="D190" s="3" t="inlineStr">
        <is>
          <t>Air Distribution</t>
        </is>
      </c>
      <c r="E190" s="2" t="inlineStr">
        <is>
          <t>HVC-03 | EAG</t>
        </is>
      </c>
      <c r="F190" s="2" t="n"/>
      <c r="G190" s="3" t="inlineStr">
        <is>
          <t>Exhaust air grille, 45° fixed deflection, OBD</t>
        </is>
      </c>
      <c r="H190" s="3" t="inlineStr">
        <is>
          <t>Ceiling</t>
        </is>
      </c>
      <c r="I190" s="2" t="inlineStr">
        <is>
          <t>Titus</t>
        </is>
      </c>
      <c r="J190" s="2" t="inlineStr">
        <is>
          <t>3FL</t>
        </is>
      </c>
      <c r="K190" s="4" t="n">
        <v>0</v>
      </c>
      <c r="L190" s="2" t="n"/>
      <c r="M190" s="2" t="inlineStr">
        <is>
          <t>pc</t>
        </is>
      </c>
      <c r="N190" s="2" t="inlineStr">
        <is>
          <t>GP1-AC-01</t>
        </is>
      </c>
      <c r="O190" s="2" t="inlineStr">
        <is>
          <t>not_started</t>
        </is>
      </c>
      <c r="P190" s="2" t="inlineStr">
        <is>
          <t>not_started</t>
        </is>
      </c>
      <c r="Q190" s="2" t="inlineStr">
        <is>
          <t>not_started</t>
        </is>
      </c>
      <c r="R190" s="10" t="inlineStr">
        <is>
          <t>https://www.titus-hvac.com/products/Grilles/3FL</t>
        </is>
      </c>
      <c r="S190" s="2" t="n"/>
      <c r="T190" s="3" t="inlineStr">
        <is>
          <t>Exhaust grille (EAG, 3FL). 0 on GP1 mock-up plan — AC-01 schedule type not used in this room (full AC-1 plan checked). Exhaust in WC/shower is via EF-GP1R-1/2 integral grilles.</t>
        </is>
      </c>
      <c r="U190" s="2" t="inlineStr">
        <is>
          <t>13 HVAC &amp; Mechanical</t>
        </is>
      </c>
      <c r="V190" s="2" t="n">
        <v>11</v>
      </c>
      <c r="W190" s="5" t="n">
        <v>46272.71894670274</v>
      </c>
      <c r="X190" s="2" t="inlineStr">
        <is>
          <t>system</t>
        </is>
      </c>
      <c r="Y190" s="2" t="inlineStr">
        <is>
          <t>dd89686e-b291-5d50-9af0-349bf46d1382</t>
        </is>
      </c>
    </row>
    <row r="191">
      <c r="A191" s="6" t="inlineStr">
        <is>
          <t>13</t>
        </is>
      </c>
      <c r="B191" s="6" t="inlineStr">
        <is>
          <t>HVAC &amp; Mechanical</t>
        </is>
      </c>
      <c r="C191" s="6" t="n">
        <v>190</v>
      </c>
      <c r="D191" s="7" t="inlineStr">
        <is>
          <t>Air Distribution</t>
        </is>
      </c>
      <c r="E191" s="6" t="inlineStr">
        <is>
          <t>HVC-03 | FL-10-JT(S)</t>
        </is>
      </c>
      <c r="F191" s="6" t="n"/>
      <c r="G191" s="7" t="inlineStr">
        <is>
          <t>Linear flow bar (jet-throw) w/ pattern controller, 24" pre-insulated plenum box &amp; butterfly damper</t>
        </is>
      </c>
      <c r="H191" s="7" t="inlineStr">
        <is>
          <t>Ceiling</t>
        </is>
      </c>
      <c r="I191" s="6" t="inlineStr">
        <is>
          <t>Titus</t>
        </is>
      </c>
      <c r="J191" s="6" t="inlineStr">
        <is>
          <t>FL-10-JT</t>
        </is>
      </c>
      <c r="K191" s="8" t="n">
        <v>4</v>
      </c>
      <c r="L191" s="6" t="n"/>
      <c r="M191" s="6" t="inlineStr">
        <is>
          <t>pc</t>
        </is>
      </c>
      <c r="N191" s="6" t="inlineStr">
        <is>
          <t>GP1-AC-01</t>
        </is>
      </c>
      <c r="O191" s="6" t="inlineStr">
        <is>
          <t>not_started</t>
        </is>
      </c>
      <c r="P191" s="6" t="inlineStr">
        <is>
          <t>not_started</t>
        </is>
      </c>
      <c r="Q191" s="6" t="inlineStr">
        <is>
          <t>not_started</t>
        </is>
      </c>
      <c r="R191" s="10" t="inlineStr">
        <is>
          <t>https://www.titus-hvac.com/products/Diffusers/FL-10</t>
        </is>
      </c>
      <c r="S191" s="6" t="n"/>
      <c r="T191" s="7" t="inlineStr">
        <is>
          <t>Confirmed on AC-1: 4x FL-10-JT(S) - 150 CFM (2'L/8"o), 340 CFM (4'L/10"o), 340 CFM (4'L/10"o), 145 CFM (2'L/8"o). Tracker said 'FL-series'; schedule also lists high-throw FL-XX-HT variant.</t>
        </is>
      </c>
      <c r="U191" s="6" t="inlineStr">
        <is>
          <t>13 HVAC &amp; Mechanical</t>
        </is>
      </c>
      <c r="V191" s="6" t="n">
        <v>12</v>
      </c>
      <c r="W191" s="9" t="n">
        <v>46272.71894670274</v>
      </c>
      <c r="X191" s="6" t="inlineStr">
        <is>
          <t>system</t>
        </is>
      </c>
      <c r="Y191" s="6" t="inlineStr">
        <is>
          <t>e1d26db0-b9a4-5c30-952b-0f20ab6e4ac0</t>
        </is>
      </c>
    </row>
    <row r="192">
      <c r="A192" s="2" t="inlineStr">
        <is>
          <t>13</t>
        </is>
      </c>
      <c r="B192" s="2" t="inlineStr">
        <is>
          <t>HVAC &amp; Mechanical</t>
        </is>
      </c>
      <c r="C192" s="2" t="n">
        <v>191</v>
      </c>
      <c r="D192" s="3" t="inlineStr">
        <is>
          <t>Air Distribution</t>
        </is>
      </c>
      <c r="E192" s="2" t="inlineStr">
        <is>
          <t>HVC-03 | R/R1</t>
        </is>
      </c>
      <c r="F192" s="2" t="n"/>
      <c r="G192" s="3" t="inlineStr">
        <is>
          <t>Return linear bar diffuser, Type 11, 0° deflection, AG-35-AA OBD</t>
        </is>
      </c>
      <c r="H192" s="3" t="inlineStr">
        <is>
          <t>Ceiling</t>
        </is>
      </c>
      <c r="I192" s="2" t="inlineStr">
        <is>
          <t>Titus</t>
        </is>
      </c>
      <c r="J192" s="2" t="inlineStr">
        <is>
          <t>CT-540</t>
        </is>
      </c>
      <c r="K192" s="4" t="n">
        <v>2</v>
      </c>
      <c r="L192" s="2" t="n"/>
      <c r="M192" s="2" t="inlineStr">
        <is>
          <t>pc</t>
        </is>
      </c>
      <c r="N192" s="2" t="inlineStr">
        <is>
          <t>GP1-AC-01</t>
        </is>
      </c>
      <c r="O192" s="2" t="inlineStr">
        <is>
          <t>not_started</t>
        </is>
      </c>
      <c r="P192" s="2" t="inlineStr">
        <is>
          <t>not_started</t>
        </is>
      </c>
      <c r="Q192" s="2" t="inlineStr">
        <is>
          <t>not_started</t>
        </is>
      </c>
      <c r="R192" s="10" t="inlineStr">
        <is>
          <t>https://www.titus-hvac.com/products/Diffusers/CT-540</t>
        </is>
      </c>
      <c r="S192" s="2" t="n"/>
      <c r="T192" s="3" t="inlineStr">
        <is>
          <t>ADDED per AC-01 schedule + AC-1 plan: R/R1 returns 24x16 (830 CFM) &amp; 12x8 (265 CFM). Missing from original tracker. | Added during drawing review</t>
        </is>
      </c>
      <c r="U192" s="2" t="inlineStr">
        <is>
          <t>13 HVAC &amp; Mechanical</t>
        </is>
      </c>
      <c r="V192" s="2" t="n">
        <v>13</v>
      </c>
      <c r="W192" s="5" t="n">
        <v>46272.71894670274</v>
      </c>
      <c r="X192" s="2" t="inlineStr">
        <is>
          <t>system</t>
        </is>
      </c>
      <c r="Y192" s="2" t="inlineStr">
        <is>
          <t>a2fc1887-910a-5a7d-85d1-29ed344dd90e</t>
        </is>
      </c>
    </row>
    <row r="193">
      <c r="A193" s="6" t="inlineStr">
        <is>
          <t>13</t>
        </is>
      </c>
      <c r="B193" s="6" t="inlineStr">
        <is>
          <t>HVAC &amp; Mechanical</t>
        </is>
      </c>
      <c r="C193" s="6" t="n">
        <v>192</v>
      </c>
      <c r="D193" s="7" t="inlineStr">
        <is>
          <t>Air Distribution</t>
        </is>
      </c>
      <c r="E193" s="6" t="inlineStr">
        <is>
          <t>HVC-03 | R/R2</t>
        </is>
      </c>
      <c r="F193" s="6" t="n"/>
      <c r="G193" s="7" t="inlineStr">
        <is>
          <t>Return linear bar diffuser, Type 11, 15° deflection, OBD</t>
        </is>
      </c>
      <c r="H193" s="7" t="inlineStr">
        <is>
          <t>Ceiling</t>
        </is>
      </c>
      <c r="I193" s="6" t="inlineStr">
        <is>
          <t>Titus</t>
        </is>
      </c>
      <c r="J193" s="6" t="inlineStr">
        <is>
          <t>CT-541</t>
        </is>
      </c>
      <c r="K193" s="8" t="n">
        <v>0</v>
      </c>
      <c r="L193" s="6" t="n"/>
      <c r="M193" s="6" t="inlineStr">
        <is>
          <t>pc</t>
        </is>
      </c>
      <c r="N193" s="6" t="inlineStr">
        <is>
          <t>GP1-AC-01</t>
        </is>
      </c>
      <c r="O193" s="6" t="inlineStr">
        <is>
          <t>not_started</t>
        </is>
      </c>
      <c r="P193" s="6" t="inlineStr">
        <is>
          <t>not_started</t>
        </is>
      </c>
      <c r="Q193" s="6" t="inlineStr">
        <is>
          <t>not_started</t>
        </is>
      </c>
      <c r="R193" s="10" t="inlineStr">
        <is>
          <t>https://www.titus-hvac.com/products/Diffusers/CT-541</t>
        </is>
      </c>
      <c r="S193" s="6" t="n"/>
      <c r="T193" s="7" t="inlineStr">
        <is>
          <t>Return CT-541 (R/R2), counterpart to S/R2. 0 on GP1 mock-up plan — AC-01 schedule type not used in this room (full AC-1 plan checked). | Added during drawing review</t>
        </is>
      </c>
      <c r="U193" s="6" t="inlineStr">
        <is>
          <t>13 HVAC &amp; Mechanical</t>
        </is>
      </c>
      <c r="V193" s="6" t="n">
        <v>14</v>
      </c>
      <c r="W193" s="9" t="n">
        <v>46272.71894670274</v>
      </c>
      <c r="X193" s="6" t="inlineStr">
        <is>
          <t>system</t>
        </is>
      </c>
      <c r="Y193" s="6" t="inlineStr">
        <is>
          <t>5f707672-8e9e-525e-bd7b-8bba16814cec</t>
        </is>
      </c>
    </row>
    <row r="194">
      <c r="A194" s="2" t="inlineStr">
        <is>
          <t>13</t>
        </is>
      </c>
      <c r="B194" s="2" t="inlineStr">
        <is>
          <t>HVAC &amp; Mechanical</t>
        </is>
      </c>
      <c r="C194" s="2" t="n">
        <v>193</v>
      </c>
      <c r="D194" s="3" t="inlineStr">
        <is>
          <t>Condensing Units</t>
        </is>
      </c>
      <c r="E194" s="2" t="inlineStr">
        <is>
          <t>HVC-02 | CU-GP1R</t>
        </is>
      </c>
      <c r="F194" s="2" t="n"/>
      <c r="G194" s="3" t="inlineStr">
        <is>
          <t>Outdoor condensing unit, R410A, 208-230/1/60, 20.2 FLA</t>
        </is>
      </c>
      <c r="H194" s="3" t="inlineStr">
        <is>
          <t>Outdoor (on concrete pad)</t>
        </is>
      </c>
      <c r="I194" s="2" t="inlineStr">
        <is>
          <t>Mitsubishi Electric</t>
        </is>
      </c>
      <c r="J194" s="2" t="inlineStr">
        <is>
          <t>MXZ-SM36NAM2-U1</t>
        </is>
      </c>
      <c r="K194" s="4" t="n">
        <v>1</v>
      </c>
      <c r="L194" s="2" t="n"/>
      <c r="M194" s="2" t="inlineStr">
        <is>
          <t>no</t>
        </is>
      </c>
      <c r="N194" s="2" t="inlineStr">
        <is>
          <t>GP1-AC-01</t>
        </is>
      </c>
      <c r="O194" s="2" t="inlineStr">
        <is>
          <t>not_started</t>
        </is>
      </c>
      <c r="P194" s="2" t="inlineStr">
        <is>
          <t>not_started</t>
        </is>
      </c>
      <c r="Q194" s="2" t="inlineStr">
        <is>
          <t>not_started</t>
        </is>
      </c>
      <c r="R194" s="10" t="inlineStr">
        <is>
          <t>https://www.mitsubishicomfort.com/products/m-series/mxz</t>
        </is>
      </c>
      <c r="S194" s="2" t="n"/>
      <c r="T194" s="3" t="inlineStr">
        <is>
          <t>Confirmed AC-01. MOCP 40 A, 271 lb, 42x14x53", ambient 95/83°F. Neoprene isolator + SS anchors on concrete pad; factory seacoast protection, no on-site coating (AC-01 notes 2-3). Refrig lines 5/8" suc / 3/8" liq. Dwg tag = CU-GP1R (tracker had CU-GP1).</t>
        </is>
      </c>
      <c r="U194" s="2" t="inlineStr">
        <is>
          <t>13 HVAC &amp; Mechanical</t>
        </is>
      </c>
      <c r="V194" s="2" t="n">
        <v>15</v>
      </c>
      <c r="W194" s="5" t="n">
        <v>46272.71894670274</v>
      </c>
      <c r="X194" s="2" t="inlineStr">
        <is>
          <t>system</t>
        </is>
      </c>
      <c r="Y194" s="2" t="inlineStr">
        <is>
          <t>f9ce1bf1-8971-5015-9e8d-fb89cb2869aa</t>
        </is>
      </c>
    </row>
    <row r="195">
      <c r="A195" s="6" t="inlineStr">
        <is>
          <t>13</t>
        </is>
      </c>
      <c r="B195" s="6" t="inlineStr">
        <is>
          <t>HVAC &amp; Mechanical</t>
        </is>
      </c>
      <c r="C195" s="6" t="n">
        <v>194</v>
      </c>
      <c r="D195" s="7" t="inlineStr">
        <is>
          <t>Controls / Thermostats</t>
        </is>
      </c>
      <c r="E195" s="6" t="inlineStr">
        <is>
          <t>HVC-07 | LTG-04</t>
        </is>
      </c>
      <c r="F195" s="6" t="n"/>
      <c r="G195" s="7" t="inlineStr">
        <is>
          <t>Room controllers / thermostats + control wiring</t>
        </is>
      </c>
      <c r="H195" s="7" t="inlineStr">
        <is>
          <t>Guestroom</t>
        </is>
      </c>
      <c r="I195" s="6" t="inlineStr">
        <is>
          <t>Lutron</t>
        </is>
      </c>
      <c r="J195" s="6" t="inlineStr">
        <is>
          <t>SMC55-MYRM (Lutron FCU Controller)</t>
        </is>
      </c>
      <c r="K195" s="8" t="n">
        <v>1</v>
      </c>
      <c r="L195" s="6" t="n"/>
      <c r="M195" s="6" t="inlineStr">
        <is>
          <t>lot</t>
        </is>
      </c>
      <c r="N195" s="6" t="inlineStr">
        <is>
          <t>GP1-AC-01</t>
        </is>
      </c>
      <c r="O195" s="6" t="inlineStr">
        <is>
          <t>not_started</t>
        </is>
      </c>
      <c r="P195" s="6" t="inlineStr">
        <is>
          <t>not_started</t>
        </is>
      </c>
      <c r="Q195" s="6" t="inlineStr">
        <is>
          <t>not_started</t>
        </is>
      </c>
      <c r="R195" s="10" t="inlineStr">
        <is>
          <t>https://assets.lutron.com/a/documents/3691130.pdf</t>
        </is>
      </c>
      <c r="S195" s="6" t="n"/>
      <c r="T195" s="7" t="inlineStr">
        <is>
          <t>AC-01 CU schematic shows Mitsubishi PAR-series controller (e.g. PAR-CT01MAU-SB) as OEM option; project direction is Lutron (LTG-04). Lutron FCU controller SMC55-MYRM + Palladiom thermostat - confirm exact t-stat model via Lutron quote. 1 thermostat shown on AC-1. | Lutron Palladiom thermostat/FCU controller tracked in Lighting (LTG-04) - coordinate</t>
        </is>
      </c>
      <c r="U195" s="6" t="inlineStr">
        <is>
          <t>13 HVAC &amp; Mechanical</t>
        </is>
      </c>
      <c r="V195" s="6" t="n">
        <v>16</v>
      </c>
      <c r="W195" s="9" t="n">
        <v>46272.71894670274</v>
      </c>
      <c r="X195" s="6" t="inlineStr">
        <is>
          <t>system</t>
        </is>
      </c>
      <c r="Y195" s="6" t="inlineStr">
        <is>
          <t>e90fd014-af0b-531d-bcbb-100d2918e18e</t>
        </is>
      </c>
    </row>
    <row r="196">
      <c r="A196" s="2" t="inlineStr">
        <is>
          <t>13</t>
        </is>
      </c>
      <c r="B196" s="2" t="inlineStr">
        <is>
          <t>HVAC &amp; Mechanical</t>
        </is>
      </c>
      <c r="C196" s="2" t="n">
        <v>195</v>
      </c>
      <c r="D196" s="3" t="inlineStr">
        <is>
          <t>Ductwork, Dampers &amp; Insulation</t>
        </is>
      </c>
      <c r="E196" s="2" t="inlineStr">
        <is>
          <t>HVC-05 | —</t>
        </is>
      </c>
      <c r="F196" s="2" t="n"/>
      <c r="G196" s="3" t="inlineStr">
        <is>
          <t>Ductwork, volume &amp; fire dampers, duct insulation</t>
        </is>
      </c>
      <c r="H196" s="3" t="inlineStr">
        <is>
          <t>Guestroom</t>
        </is>
      </c>
      <c r="I196" s="2" t="inlineStr">
        <is>
          <t>—</t>
        </is>
      </c>
      <c r="J196" s="2" t="inlineStr">
        <is>
          <t>—</t>
        </is>
      </c>
      <c r="K196" s="4" t="n">
        <v>1</v>
      </c>
      <c r="L196" s="2" t="n"/>
      <c r="M196" s="2" t="inlineStr">
        <is>
          <t>lot</t>
        </is>
      </c>
      <c r="N196" s="2" t="inlineStr">
        <is>
          <t>GP1-AC-02/03</t>
        </is>
      </c>
      <c r="O196" s="2" t="inlineStr">
        <is>
          <t>not_started</t>
        </is>
      </c>
      <c r="P196" s="2" t="inlineStr">
        <is>
          <t>not_started</t>
        </is>
      </c>
      <c r="Q196" s="2" t="inlineStr">
        <is>
          <t>not_started</t>
        </is>
      </c>
      <c r="R196" s="2" t="n"/>
      <c r="S196" s="2" t="n"/>
      <c r="T196" s="3" t="inlineStr">
        <is>
          <t>Sizes per AC-1: 18x12 supply to roof; 24x16 &amp; 12x8 returns; 8x8/8x6/6x6/6x4 branches; 6x4 exhaust to roof cap. Details AC-02/03: turning vanes, volume/splitter/balancing dampers, flex-duct support, strap hangers.</t>
        </is>
      </c>
      <c r="U196" s="2" t="inlineStr">
        <is>
          <t>13 HVAC &amp; Mechanical</t>
        </is>
      </c>
      <c r="V196" s="2" t="n">
        <v>17</v>
      </c>
      <c r="W196" s="5" t="n">
        <v>46272.71894670274</v>
      </c>
      <c r="X196" s="2" t="inlineStr">
        <is>
          <t>system</t>
        </is>
      </c>
      <c r="Y196" s="2" t="inlineStr">
        <is>
          <t>5b8836a8-7b70-5e97-bbd1-bea027a78a86</t>
        </is>
      </c>
    </row>
    <row r="197">
      <c r="A197" s="6" t="inlineStr">
        <is>
          <t>13</t>
        </is>
      </c>
      <c r="B197" s="6" t="inlineStr">
        <is>
          <t>HVAC &amp; Mechanical</t>
        </is>
      </c>
      <c r="C197" s="6" t="n">
        <v>196</v>
      </c>
      <c r="D197" s="7" t="inlineStr">
        <is>
          <t>Indoor Units (Fan Coils)</t>
        </is>
      </c>
      <c r="E197" s="6" t="inlineStr">
        <is>
          <t>HVC-01 | FCU-GP1R</t>
        </is>
      </c>
      <c r="F197" s="6" t="n"/>
      <c r="G197" s="7" t="inlineStr">
        <is>
          <t>Ducted split-system indoor fan-coil unit, vertical ducted, 36,000 BTU/hr (3.0 tons), R410A</t>
        </is>
      </c>
      <c r="H197" s="7" t="inlineStr">
        <is>
          <t>Guest Pavilion 1 (Mock-Up Room)</t>
        </is>
      </c>
      <c r="I197" s="6" t="inlineStr">
        <is>
          <t>Mitsubishi Electric</t>
        </is>
      </c>
      <c r="J197" s="6" t="inlineStr">
        <is>
          <t>PVFY-P36NAMU-E1</t>
        </is>
      </c>
      <c r="K197" s="8" t="n">
        <v>1</v>
      </c>
      <c r="L197" s="6" t="n"/>
      <c r="M197" s="6" t="inlineStr">
        <is>
          <t>no</t>
        </is>
      </c>
      <c r="N197" s="6" t="inlineStr">
        <is>
          <t>GP1-AC-01</t>
        </is>
      </c>
      <c r="O197" s="6" t="inlineStr">
        <is>
          <t>not_started</t>
        </is>
      </c>
      <c r="P197" s="6" t="inlineStr">
        <is>
          <t>not_started</t>
        </is>
      </c>
      <c r="Q197" s="6" t="inlineStr">
        <is>
          <t>not_started</t>
        </is>
      </c>
      <c r="R197" s="10" t="inlineStr">
        <is>
          <t>http://www.mylinkdrive.com/usa/PVFY_P36NAMU_E1</t>
        </is>
      </c>
      <c r="S197" s="6" t="n"/>
      <c r="T197" s="7" t="inlineStr">
        <is>
          <t>Confirmed on AC-01 Split-System schedule &amp; AC-2 section. Supply air 767/931/1,095 CFM (3-spd), ESP 0.8" WG, sensible 26,300 BTU/hr, 141 lb, 22x21x55". Dwg tag = FCU-GP1R (tracker had FCU-GP1).</t>
        </is>
      </c>
      <c r="U197" s="6" t="inlineStr">
        <is>
          <t>13 HVAC &amp; Mechanical</t>
        </is>
      </c>
      <c r="V197" s="6" t="n">
        <v>18</v>
      </c>
      <c r="W197" s="9" t="n">
        <v>46272.71894670274</v>
      </c>
      <c r="X197" s="6" t="inlineStr">
        <is>
          <t>system</t>
        </is>
      </c>
      <c r="Y197" s="6" t="inlineStr">
        <is>
          <t>ffdc4130-0ec7-5ed8-b567-c85a1b7f83f6</t>
        </is>
      </c>
    </row>
    <row r="198">
      <c r="A198" s="2" t="inlineStr">
        <is>
          <t>13</t>
        </is>
      </c>
      <c r="B198" s="2" t="inlineStr">
        <is>
          <t>HVAC &amp; Mechanical</t>
        </is>
      </c>
      <c r="C198" s="2" t="n">
        <v>197</v>
      </c>
      <c r="D198" s="3" t="inlineStr">
        <is>
          <t>Refrigerant Piping</t>
        </is>
      </c>
      <c r="E198" s="2" t="inlineStr">
        <is>
          <t>HVC-06 | —</t>
        </is>
      </c>
      <c r="F198" s="2" t="n"/>
      <c r="G198" s="3" t="inlineStr">
        <is>
          <t>Insulated refrigerant copper piping &amp; accessories</t>
        </is>
      </c>
      <c r="H198" s="3" t="inlineStr">
        <is>
          <t>FCU-GP1R to CU-GP1R</t>
        </is>
      </c>
      <c r="I198" s="2" t="inlineStr">
        <is>
          <t>—</t>
        </is>
      </c>
      <c r="J198" s="2" t="inlineStr">
        <is>
          <t>—</t>
        </is>
      </c>
      <c r="K198" s="4" t="n">
        <v>1</v>
      </c>
      <c r="L198" s="2" t="n"/>
      <c r="M198" s="2" t="inlineStr">
        <is>
          <t>lot</t>
        </is>
      </c>
      <c r="N198" s="2" t="inlineStr">
        <is>
          <t>GP1-AC-01/02</t>
        </is>
      </c>
      <c r="O198" s="2" t="inlineStr">
        <is>
          <t>not_started</t>
        </is>
      </c>
      <c r="P198" s="2" t="inlineStr">
        <is>
          <t>not_started</t>
        </is>
      </c>
      <c r="Q198" s="2" t="inlineStr">
        <is>
          <t>not_started</t>
        </is>
      </c>
      <c r="R198" s="2" t="n"/>
      <c r="S198" s="2" t="n"/>
      <c r="T198" s="3" t="inlineStr">
        <is>
          <t>Line sizes per AC-01: 5/8" suction / 3/8" liquid, R410A. Underground runs in PVC sleeves (AC-1 note). Supports per AC-03 details.</t>
        </is>
      </c>
      <c r="U198" s="2" t="inlineStr">
        <is>
          <t>13 HVAC &amp; Mechanical</t>
        </is>
      </c>
      <c r="V198" s="2" t="n">
        <v>19</v>
      </c>
      <c r="W198" s="5" t="n">
        <v>46272.71894670274</v>
      </c>
      <c r="X198" s="2" t="inlineStr">
        <is>
          <t>system</t>
        </is>
      </c>
      <c r="Y198" s="2" t="inlineStr">
        <is>
          <t>5bfcca70-7eff-501c-a215-aa1d3d4f24e5</t>
        </is>
      </c>
    </row>
    <row r="199">
      <c r="A199" s="6" t="inlineStr">
        <is>
          <t>13</t>
        </is>
      </c>
      <c r="B199" s="6" t="inlineStr">
        <is>
          <t>HVAC &amp; Mechanical</t>
        </is>
      </c>
      <c r="C199" s="6" t="n">
        <v>198</v>
      </c>
      <c r="D199" s="7" t="inlineStr">
        <is>
          <t>Ventilation / Exhaust Fans</t>
        </is>
      </c>
      <c r="E199" s="6" t="inlineStr">
        <is>
          <t>HVC-04 | EF-GP1R-1</t>
        </is>
      </c>
      <c r="F199" s="6" t="n"/>
      <c r="G199" s="7" t="inlineStr">
        <is>
          <t>Ducted centrifugal exhaust fan, 70 CFM, 0.1" W.G.</t>
        </is>
      </c>
      <c r="H199" s="7" t="inlineStr">
        <is>
          <t>WC (GP1)</t>
        </is>
      </c>
      <c r="I199" s="6" t="inlineStr">
        <is>
          <t>Panasonic</t>
        </is>
      </c>
      <c r="J199" s="6" t="inlineStr">
        <is>
          <t>RG-M79LA</t>
        </is>
      </c>
      <c r="K199" s="8" t="n">
        <v>1</v>
      </c>
      <c r="L199" s="6" t="n"/>
      <c r="M199" s="6" t="inlineStr">
        <is>
          <t>no</t>
        </is>
      </c>
      <c r="N199" s="6" t="inlineStr">
        <is>
          <t>GP1-AC-01</t>
        </is>
      </c>
      <c r="O199" s="6" t="inlineStr">
        <is>
          <t>not_started</t>
        </is>
      </c>
      <c r="P199" s="6" t="inlineStr">
        <is>
          <t>not_started</t>
        </is>
      </c>
      <c r="Q199" s="6" t="inlineStr">
        <is>
          <t>not_started</t>
        </is>
      </c>
      <c r="R199" s="10" t="inlineStr">
        <is>
          <t>https://iaq.na.panasonic.com/ventilation/fans/whisper-mighty-led</t>
        </is>
      </c>
      <c r="S199" s="6" t="n"/>
      <c r="T199" s="7" t="inlineStr">
        <is>
          <t>Confirmed AC-01 Exhaust Fan schedule + AC-1. Static pressure 0.1" W.G. - tracker '0.8 in ESP' appears to be an error (0.8 is the FCU ESP). 18.5 W, 995 RPM, 120/1/60, ceiling, 6x4 duct to roof cap. Dwg tag EF-GP1R-1.</t>
        </is>
      </c>
      <c r="U199" s="6" t="inlineStr">
        <is>
          <t>13 HVAC &amp; Mechanical</t>
        </is>
      </c>
      <c r="V199" s="6" t="n">
        <v>20</v>
      </c>
      <c r="W199" s="9" t="n">
        <v>46272.71894670274</v>
      </c>
      <c r="X199" s="6" t="inlineStr">
        <is>
          <t>system</t>
        </is>
      </c>
      <c r="Y199" s="6" t="inlineStr">
        <is>
          <t>3222e7b9-4b9e-5783-ae9e-83a935dbfeb2</t>
        </is>
      </c>
    </row>
    <row r="200">
      <c r="A200" s="2" t="inlineStr">
        <is>
          <t>13</t>
        </is>
      </c>
      <c r="B200" s="2" t="inlineStr">
        <is>
          <t>HVAC &amp; Mechanical</t>
        </is>
      </c>
      <c r="C200" s="2" t="n">
        <v>199</v>
      </c>
      <c r="D200" s="3" t="inlineStr">
        <is>
          <t>Ventilation / Exhaust Fans</t>
        </is>
      </c>
      <c r="E200" s="2" t="inlineStr">
        <is>
          <t>HVC-04 | EF-GP1R-2</t>
        </is>
      </c>
      <c r="F200" s="2" t="n"/>
      <c r="G200" s="3" t="inlineStr">
        <is>
          <t>Ducted centrifugal exhaust fan, 70 CFM, 0.1" W.G.</t>
        </is>
      </c>
      <c r="H200" s="3" t="inlineStr">
        <is>
          <t>Shower (GP1)</t>
        </is>
      </c>
      <c r="I200" s="2" t="inlineStr">
        <is>
          <t>Panasonic</t>
        </is>
      </c>
      <c r="J200" s="2" t="inlineStr">
        <is>
          <t>RG-M79LA</t>
        </is>
      </c>
      <c r="K200" s="4" t="n">
        <v>1</v>
      </c>
      <c r="L200" s="2" t="n"/>
      <c r="M200" s="2" t="inlineStr">
        <is>
          <t>no</t>
        </is>
      </c>
      <c r="N200" s="2" t="inlineStr">
        <is>
          <t>GP1-AC-01</t>
        </is>
      </c>
      <c r="O200" s="2" t="inlineStr">
        <is>
          <t>not_started</t>
        </is>
      </c>
      <c r="P200" s="2" t="inlineStr">
        <is>
          <t>not_started</t>
        </is>
      </c>
      <c r="Q200" s="2" t="inlineStr">
        <is>
          <t>not_started</t>
        </is>
      </c>
      <c r="R200" s="10" t="inlineStr">
        <is>
          <t>https://iaq.na.panasonic.com/ventilation/fans/whisper-mighty-led</t>
        </is>
      </c>
      <c r="S200" s="2" t="n"/>
      <c r="T200" s="3" t="inlineStr">
        <is>
          <t>Confirmed AC-01 + AC-1. Same spec as EF-GP1R-1. Dwg tag EF-GP1R-2.</t>
        </is>
      </c>
      <c r="U200" s="2" t="inlineStr">
        <is>
          <t>13 HVAC &amp; Mechanical</t>
        </is>
      </c>
      <c r="V200" s="2" t="n">
        <v>21</v>
      </c>
      <c r="W200" s="5" t="n">
        <v>46272.71894670274</v>
      </c>
      <c r="X200" s="2" t="inlineStr">
        <is>
          <t>system</t>
        </is>
      </c>
      <c r="Y200" s="2" t="inlineStr">
        <is>
          <t>94be8acf-ac78-58b2-a294-782b39ac56bc</t>
        </is>
      </c>
    </row>
  </sheetData>
  <autoFilter ref="A1:Y200"/>
  <conditionalFormatting sqref="O2:O200">
    <cfRule type="cellIs" priority="1" operator="equal" dxfId="0">
      <formula>"complete"</formula>
    </cfRule>
    <cfRule type="cellIs" priority="2" operator="equal" dxfId="1">
      <formula>"in_progress"</formula>
    </cfRule>
    <cfRule type="cellIs" priority="3" operator="equal" dxfId="2">
      <formula>"not_started"</formula>
    </cfRule>
    <cfRule type="cellIs" priority="4" operator="equal" dxfId="3">
      <formula>"unknown"</formula>
    </cfRule>
  </conditionalFormatting>
  <conditionalFormatting sqref="P2:P200">
    <cfRule type="cellIs" priority="5" operator="equal" dxfId="0">
      <formula>"approved"</formula>
    </cfRule>
    <cfRule type="cellIs" priority="6" operator="equal" dxfId="1">
      <formula>"submitted"</formula>
    </cfRule>
    <cfRule type="cellIs" priority="7" operator="equal" dxfId="2">
      <formula>"rejected"</formula>
    </cfRule>
    <cfRule type="cellIs" priority="8" operator="equal" dxfId="3">
      <formula>"not_started"</formula>
    </cfRule>
  </conditionalFormatting>
  <conditionalFormatting sqref="Q2:Q200">
    <cfRule type="cellIs" priority="9" operator="equal" dxfId="0">
      <formula>"installed"</formula>
    </cfRule>
    <cfRule type="cellIs" priority="10" operator="equal" dxfId="0">
      <formula>"delivered"</formula>
    </cfRule>
    <cfRule type="cellIs" priority="11" operator="equal" dxfId="1">
      <formula>"ordered"</formula>
    </cfRule>
    <cfRule type="cellIs" priority="12" operator="equal" dxfId="1">
      <formula>"quoted"</formula>
    </cfRule>
    <cfRule type="cellIs" priority="13" operator="equal" dxfId="3">
      <formula>"not_started"</formula>
    </cfRule>
  </conditionalFormatting>
  <hyperlinks>
    <hyperlink xmlns:r="http://schemas.openxmlformats.org/officeDocument/2006/relationships" ref="R16" r:id="rId1"/>
    <hyperlink xmlns:r="http://schemas.openxmlformats.org/officeDocument/2006/relationships" ref="R20" r:id="rId2"/>
    <hyperlink xmlns:r="http://schemas.openxmlformats.org/officeDocument/2006/relationships" ref="R21" r:id="rId3"/>
    <hyperlink xmlns:r="http://schemas.openxmlformats.org/officeDocument/2006/relationships" ref="R42" r:id="rId4"/>
    <hyperlink xmlns:r="http://schemas.openxmlformats.org/officeDocument/2006/relationships" ref="R50" r:id="rId5"/>
    <hyperlink xmlns:r="http://schemas.openxmlformats.org/officeDocument/2006/relationships" ref="R52" r:id="rId6"/>
    <hyperlink xmlns:r="http://schemas.openxmlformats.org/officeDocument/2006/relationships" ref="R59" r:id="rId7"/>
    <hyperlink xmlns:r="http://schemas.openxmlformats.org/officeDocument/2006/relationships" ref="R68" r:id="rId8"/>
    <hyperlink xmlns:r="http://schemas.openxmlformats.org/officeDocument/2006/relationships" ref="R77" r:id="rId9"/>
    <hyperlink xmlns:r="http://schemas.openxmlformats.org/officeDocument/2006/relationships" ref="R87" r:id="rId10"/>
    <hyperlink xmlns:r="http://schemas.openxmlformats.org/officeDocument/2006/relationships" ref="R93" r:id="rId11"/>
    <hyperlink xmlns:r="http://schemas.openxmlformats.org/officeDocument/2006/relationships" ref="R94" r:id="rId12"/>
    <hyperlink xmlns:r="http://schemas.openxmlformats.org/officeDocument/2006/relationships" ref="R96" r:id="rId13"/>
    <hyperlink xmlns:r="http://schemas.openxmlformats.org/officeDocument/2006/relationships" ref="R97" r:id="rId14"/>
    <hyperlink xmlns:r="http://schemas.openxmlformats.org/officeDocument/2006/relationships" ref="R98" r:id="rId15"/>
    <hyperlink xmlns:r="http://schemas.openxmlformats.org/officeDocument/2006/relationships" ref="R99" r:id="rId16"/>
    <hyperlink xmlns:r="http://schemas.openxmlformats.org/officeDocument/2006/relationships" ref="R100" r:id="rId17"/>
    <hyperlink xmlns:r="http://schemas.openxmlformats.org/officeDocument/2006/relationships" ref="R102" r:id="rId18"/>
    <hyperlink xmlns:r="http://schemas.openxmlformats.org/officeDocument/2006/relationships" ref="R103" r:id="rId19"/>
    <hyperlink xmlns:r="http://schemas.openxmlformats.org/officeDocument/2006/relationships" ref="R104" r:id="rId20"/>
    <hyperlink xmlns:r="http://schemas.openxmlformats.org/officeDocument/2006/relationships" ref="R105" r:id="rId21"/>
    <hyperlink xmlns:r="http://schemas.openxmlformats.org/officeDocument/2006/relationships" ref="R106" r:id="rId22"/>
    <hyperlink xmlns:r="http://schemas.openxmlformats.org/officeDocument/2006/relationships" ref="R108" r:id="rId23"/>
    <hyperlink xmlns:r="http://schemas.openxmlformats.org/officeDocument/2006/relationships" ref="R109" r:id="rId24"/>
    <hyperlink xmlns:r="http://schemas.openxmlformats.org/officeDocument/2006/relationships" ref="R110" r:id="rId25"/>
    <hyperlink xmlns:r="http://schemas.openxmlformats.org/officeDocument/2006/relationships" ref="R111" r:id="rId26"/>
    <hyperlink xmlns:r="http://schemas.openxmlformats.org/officeDocument/2006/relationships" ref="R113" r:id="rId27"/>
    <hyperlink xmlns:r="http://schemas.openxmlformats.org/officeDocument/2006/relationships" ref="R114" r:id="rId28"/>
    <hyperlink xmlns:r="http://schemas.openxmlformats.org/officeDocument/2006/relationships" ref="R115" r:id="rId29"/>
    <hyperlink xmlns:r="http://schemas.openxmlformats.org/officeDocument/2006/relationships" ref="R116" r:id="rId30"/>
    <hyperlink xmlns:r="http://schemas.openxmlformats.org/officeDocument/2006/relationships" ref="R117" r:id="rId31"/>
    <hyperlink xmlns:r="http://schemas.openxmlformats.org/officeDocument/2006/relationships" ref="R118" r:id="rId32"/>
    <hyperlink xmlns:r="http://schemas.openxmlformats.org/officeDocument/2006/relationships" ref="R119" r:id="rId33"/>
    <hyperlink xmlns:r="http://schemas.openxmlformats.org/officeDocument/2006/relationships" ref="R120" r:id="rId34"/>
    <hyperlink xmlns:r="http://schemas.openxmlformats.org/officeDocument/2006/relationships" ref="R121" r:id="rId35"/>
    <hyperlink xmlns:r="http://schemas.openxmlformats.org/officeDocument/2006/relationships" ref="R122" r:id="rId36"/>
    <hyperlink xmlns:r="http://schemas.openxmlformats.org/officeDocument/2006/relationships" ref="R123" r:id="rId37"/>
    <hyperlink xmlns:r="http://schemas.openxmlformats.org/officeDocument/2006/relationships" ref="R124" r:id="rId38"/>
    <hyperlink xmlns:r="http://schemas.openxmlformats.org/officeDocument/2006/relationships" ref="R125" r:id="rId39"/>
    <hyperlink xmlns:r="http://schemas.openxmlformats.org/officeDocument/2006/relationships" ref="R126" r:id="rId40"/>
    <hyperlink xmlns:r="http://schemas.openxmlformats.org/officeDocument/2006/relationships" ref="R159" r:id="rId41"/>
    <hyperlink xmlns:r="http://schemas.openxmlformats.org/officeDocument/2006/relationships" ref="R161" r:id="rId42"/>
    <hyperlink xmlns:r="http://schemas.openxmlformats.org/officeDocument/2006/relationships" ref="R162" r:id="rId43"/>
    <hyperlink xmlns:r="http://schemas.openxmlformats.org/officeDocument/2006/relationships" ref="R164" r:id="rId44"/>
    <hyperlink xmlns:r="http://schemas.openxmlformats.org/officeDocument/2006/relationships" ref="R165" r:id="rId45"/>
    <hyperlink xmlns:r="http://schemas.openxmlformats.org/officeDocument/2006/relationships" ref="R166" r:id="rId46"/>
    <hyperlink xmlns:r="http://schemas.openxmlformats.org/officeDocument/2006/relationships" ref="R167" r:id="rId47"/>
    <hyperlink xmlns:r="http://schemas.openxmlformats.org/officeDocument/2006/relationships" ref="R169" r:id="rId48"/>
    <hyperlink xmlns:r="http://schemas.openxmlformats.org/officeDocument/2006/relationships" ref="R170" r:id="rId49"/>
    <hyperlink xmlns:r="http://schemas.openxmlformats.org/officeDocument/2006/relationships" ref="R171" r:id="rId50"/>
    <hyperlink xmlns:r="http://schemas.openxmlformats.org/officeDocument/2006/relationships" ref="R174" r:id="rId51"/>
    <hyperlink xmlns:r="http://schemas.openxmlformats.org/officeDocument/2006/relationships" ref="R175" r:id="rId52"/>
    <hyperlink xmlns:r="http://schemas.openxmlformats.org/officeDocument/2006/relationships" ref="R178" r:id="rId53"/>
    <hyperlink xmlns:r="http://schemas.openxmlformats.org/officeDocument/2006/relationships" ref="R180" r:id="rId54"/>
    <hyperlink xmlns:r="http://schemas.openxmlformats.org/officeDocument/2006/relationships" ref="R181" r:id="rId55"/>
    <hyperlink xmlns:r="http://schemas.openxmlformats.org/officeDocument/2006/relationships" ref="R182" r:id="rId56"/>
    <hyperlink xmlns:r="http://schemas.openxmlformats.org/officeDocument/2006/relationships" ref="R184" r:id="rId57"/>
    <hyperlink xmlns:r="http://schemas.openxmlformats.org/officeDocument/2006/relationships" ref="R185" r:id="rId58"/>
    <hyperlink xmlns:r="http://schemas.openxmlformats.org/officeDocument/2006/relationships" ref="R186" r:id="rId59"/>
    <hyperlink xmlns:r="http://schemas.openxmlformats.org/officeDocument/2006/relationships" ref="R187" r:id="rId60"/>
    <hyperlink xmlns:r="http://schemas.openxmlformats.org/officeDocument/2006/relationships" ref="R188" r:id="rId61"/>
    <hyperlink xmlns:r="http://schemas.openxmlformats.org/officeDocument/2006/relationships" ref="R189" r:id="rId62"/>
    <hyperlink xmlns:r="http://schemas.openxmlformats.org/officeDocument/2006/relationships" ref="R190" r:id="rId63"/>
    <hyperlink xmlns:r="http://schemas.openxmlformats.org/officeDocument/2006/relationships" ref="R191" r:id="rId64"/>
    <hyperlink xmlns:r="http://schemas.openxmlformats.org/officeDocument/2006/relationships" ref="R192" r:id="rId65"/>
    <hyperlink xmlns:r="http://schemas.openxmlformats.org/officeDocument/2006/relationships" ref="R193" r:id="rId66"/>
    <hyperlink xmlns:r="http://schemas.openxmlformats.org/officeDocument/2006/relationships" ref="R194" r:id="rId67"/>
    <hyperlink xmlns:r="http://schemas.openxmlformats.org/officeDocument/2006/relationships" ref="R195" r:id="rId68"/>
    <hyperlink xmlns:r="http://schemas.openxmlformats.org/officeDocument/2006/relationships" ref="R197" r:id="rId69"/>
    <hyperlink xmlns:r="http://schemas.openxmlformats.org/officeDocument/2006/relationships" ref="R199" r:id="rId70"/>
    <hyperlink xmlns:r="http://schemas.openxmlformats.org/officeDocument/2006/relationships" ref="R200" r:id="rId71"/>
  </hyperlinks>
  <pageMargins left="0.75" right="0.75" top="1" bottom="1" header="0.5" footer="0.5"/>
  <pageSetup orientation="landscape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4" customWidth="1" min="2" max="2"/>
    <col width="8" customWidth="1" min="3" max="3"/>
    <col width="10" customWidth="1" min="4" max="4"/>
    <col width="11" customWidth="1" min="5" max="5"/>
    <col width="12" customWidth="1" min="6" max="6"/>
    <col width="13" customWidth="1" min="7" max="7"/>
    <col width="13" customWidth="1" min="8" max="8"/>
  </cols>
  <sheetData>
    <row r="1" ht="26" customHeight="1">
      <c r="A1" s="1" t="inlineStr">
        <is>
          <t>Disc</t>
        </is>
      </c>
      <c r="B1" s="1" t="inlineStr">
        <is>
          <t>Discipline</t>
        </is>
      </c>
      <c r="C1" s="1" t="inlineStr">
        <is>
          <t>Items</t>
        </is>
      </c>
      <c r="D1" s="1" t="inlineStr">
        <is>
          <t>With spec</t>
        </is>
      </c>
      <c r="E1" s="1" t="inlineStr">
        <is>
          <t>With folder</t>
        </is>
      </c>
      <c r="F1" s="1" t="inlineStr">
        <is>
          <t>Documented</t>
        </is>
      </c>
      <c r="G1" s="1" t="inlineStr">
        <is>
          <t>Undocumented</t>
        </is>
      </c>
      <c r="H1" s="1" t="inlineStr">
        <is>
          <t>% documented</t>
        </is>
      </c>
    </row>
    <row r="2">
      <c r="A2" s="2" t="inlineStr">
        <is>
          <t>01</t>
        </is>
      </c>
      <c r="B2" s="2" t="inlineStr">
        <is>
          <t>Plaster</t>
        </is>
      </c>
      <c r="C2" s="2">
        <f>COUNTIF(Register!$A:$A,$A2)</f>
        <v/>
      </c>
      <c r="D2" s="2">
        <f>COUNTIFS(Register!$A:$A,$A2,Register!$R:$R,"?*")</f>
        <v/>
      </c>
      <c r="E2" s="2">
        <f>COUNTIFS(Register!$A:$A,$A2,Register!$S:$S,"?*")</f>
        <v/>
      </c>
      <c r="F2" s="2">
        <f>D2+E2-COUNTIFS(Register!$A:$A,$A2,Register!$R:$R,"?*",Register!$S:$S,"?*")</f>
        <v/>
      </c>
      <c r="G2" s="2">
        <f>C2-F2</f>
        <v/>
      </c>
      <c r="H2" s="11">
        <f>IF(C2=0,"",F2/C2)</f>
        <v/>
      </c>
    </row>
    <row r="3">
      <c r="A3" s="6" t="inlineStr">
        <is>
          <t>02</t>
        </is>
      </c>
      <c r="B3" s="6" t="inlineStr">
        <is>
          <t>Stone</t>
        </is>
      </c>
      <c r="C3" s="6">
        <f>COUNTIF(Register!$A:$A,$A3)</f>
        <v/>
      </c>
      <c r="D3" s="6">
        <f>COUNTIFS(Register!$A:$A,$A3,Register!$R:$R,"?*")</f>
        <v/>
      </c>
      <c r="E3" s="6">
        <f>COUNTIFS(Register!$A:$A,$A3,Register!$S:$S,"?*")</f>
        <v/>
      </c>
      <c r="F3" s="6">
        <f>D3+E3-COUNTIFS(Register!$A:$A,$A3,Register!$R:$R,"?*",Register!$S:$S,"?*")</f>
        <v/>
      </c>
      <c r="G3" s="6">
        <f>C3-F3</f>
        <v/>
      </c>
      <c r="H3" s="12">
        <f>IF(C3=0,"",F3/C3)</f>
        <v/>
      </c>
    </row>
    <row r="4">
      <c r="A4" s="2" t="inlineStr">
        <is>
          <t>03</t>
        </is>
      </c>
      <c r="B4" s="2" t="inlineStr">
        <is>
          <t>Doors</t>
        </is>
      </c>
      <c r="C4" s="2">
        <f>COUNTIF(Register!$A:$A,$A4)</f>
        <v/>
      </c>
      <c r="D4" s="2">
        <f>COUNTIFS(Register!$A:$A,$A4,Register!$R:$R,"?*")</f>
        <v/>
      </c>
      <c r="E4" s="2">
        <f>COUNTIFS(Register!$A:$A,$A4,Register!$S:$S,"?*")</f>
        <v/>
      </c>
      <c r="F4" s="2">
        <f>D4+E4-COUNTIFS(Register!$A:$A,$A4,Register!$R:$R,"?*",Register!$S:$S,"?*")</f>
        <v/>
      </c>
      <c r="G4" s="2">
        <f>C4-F4</f>
        <v/>
      </c>
      <c r="H4" s="11">
        <f>IF(C4=0,"",F4/C4)</f>
        <v/>
      </c>
    </row>
    <row r="5">
      <c r="A5" s="6" t="inlineStr">
        <is>
          <t>04</t>
        </is>
      </c>
      <c r="B5" s="6" t="inlineStr">
        <is>
          <t>Glazing</t>
        </is>
      </c>
      <c r="C5" s="6">
        <f>COUNTIF(Register!$A:$A,$A5)</f>
        <v/>
      </c>
      <c r="D5" s="6">
        <f>COUNTIFS(Register!$A:$A,$A5,Register!$R:$R,"?*")</f>
        <v/>
      </c>
      <c r="E5" s="6">
        <f>COUNTIFS(Register!$A:$A,$A5,Register!$S:$S,"?*")</f>
        <v/>
      </c>
      <c r="F5" s="6">
        <f>D5+E5-COUNTIFS(Register!$A:$A,$A5,Register!$R:$R,"?*",Register!$S:$S,"?*")</f>
        <v/>
      </c>
      <c r="G5" s="6">
        <f>C5-F5</f>
        <v/>
      </c>
      <c r="H5" s="12">
        <f>IF(C5=0,"",F5/C5)</f>
        <v/>
      </c>
    </row>
    <row r="6">
      <c r="A6" s="2" t="inlineStr">
        <is>
          <t>05</t>
        </is>
      </c>
      <c r="B6" s="2" t="inlineStr">
        <is>
          <t>FF&amp;E</t>
        </is>
      </c>
      <c r="C6" s="2">
        <f>COUNTIF(Register!$A:$A,$A6)</f>
        <v/>
      </c>
      <c r="D6" s="2">
        <f>COUNTIFS(Register!$A:$A,$A6,Register!$R:$R,"?*")</f>
        <v/>
      </c>
      <c r="E6" s="2">
        <f>COUNTIFS(Register!$A:$A,$A6,Register!$S:$S,"?*")</f>
        <v/>
      </c>
      <c r="F6" s="2">
        <f>D6+E6-COUNTIFS(Register!$A:$A,$A6,Register!$R:$R,"?*",Register!$S:$S,"?*")</f>
        <v/>
      </c>
      <c r="G6" s="2">
        <f>C6-F6</f>
        <v/>
      </c>
      <c r="H6" s="11">
        <f>IF(C6=0,"",F6/C6)</f>
        <v/>
      </c>
    </row>
    <row r="7">
      <c r="A7" s="6" t="inlineStr">
        <is>
          <t>06</t>
        </is>
      </c>
      <c r="B7" s="6" t="inlineStr">
        <is>
          <t>Millwork &amp; Joinery</t>
        </is>
      </c>
      <c r="C7" s="6">
        <f>COUNTIF(Register!$A:$A,$A7)</f>
        <v/>
      </c>
      <c r="D7" s="6">
        <f>COUNTIFS(Register!$A:$A,$A7,Register!$R:$R,"?*")</f>
        <v/>
      </c>
      <c r="E7" s="6">
        <f>COUNTIFS(Register!$A:$A,$A7,Register!$S:$S,"?*")</f>
        <v/>
      </c>
      <c r="F7" s="6">
        <f>D7+E7-COUNTIFS(Register!$A:$A,$A7,Register!$R:$R,"?*",Register!$S:$S,"?*")</f>
        <v/>
      </c>
      <c r="G7" s="6">
        <f>C7-F7</f>
        <v/>
      </c>
      <c r="H7" s="12">
        <f>IF(C7=0,"",F7/C7)</f>
        <v/>
      </c>
    </row>
    <row r="8">
      <c r="A8" s="2" t="inlineStr">
        <is>
          <t>07</t>
        </is>
      </c>
      <c r="B8" s="2" t="inlineStr">
        <is>
          <t>Plumbing Systems</t>
        </is>
      </c>
      <c r="C8" s="2">
        <f>COUNTIF(Register!$A:$A,$A8)</f>
        <v/>
      </c>
      <c r="D8" s="2">
        <f>COUNTIFS(Register!$A:$A,$A8,Register!$R:$R,"?*")</f>
        <v/>
      </c>
      <c r="E8" s="2">
        <f>COUNTIFS(Register!$A:$A,$A8,Register!$S:$S,"?*")</f>
        <v/>
      </c>
      <c r="F8" s="2">
        <f>D8+E8-COUNTIFS(Register!$A:$A,$A8,Register!$R:$R,"?*",Register!$S:$S,"?*")</f>
        <v/>
      </c>
      <c r="G8" s="2">
        <f>C8-F8</f>
        <v/>
      </c>
      <c r="H8" s="11">
        <f>IF(C8=0,"",F8/C8)</f>
        <v/>
      </c>
    </row>
    <row r="9">
      <c r="A9" s="6" t="inlineStr">
        <is>
          <t>08</t>
        </is>
      </c>
      <c r="B9" s="6" t="inlineStr">
        <is>
          <t>Plumbing Equipment</t>
        </is>
      </c>
      <c r="C9" s="6">
        <f>COUNTIF(Register!$A:$A,$A9)</f>
        <v/>
      </c>
      <c r="D9" s="6">
        <f>COUNTIFS(Register!$A:$A,$A9,Register!$R:$R,"?*")</f>
        <v/>
      </c>
      <c r="E9" s="6">
        <f>COUNTIFS(Register!$A:$A,$A9,Register!$S:$S,"?*")</f>
        <v/>
      </c>
      <c r="F9" s="6">
        <f>D9+E9-COUNTIFS(Register!$A:$A,$A9,Register!$R:$R,"?*",Register!$S:$S,"?*")</f>
        <v/>
      </c>
      <c r="G9" s="6">
        <f>C9-F9</f>
        <v/>
      </c>
      <c r="H9" s="12">
        <f>IF(C9=0,"",F9/C9)</f>
        <v/>
      </c>
    </row>
    <row r="10">
      <c r="A10" s="2" t="inlineStr">
        <is>
          <t>09</t>
        </is>
      </c>
      <c r="B10" s="2" t="inlineStr">
        <is>
          <t>Pool &amp; Water Features</t>
        </is>
      </c>
      <c r="C10" s="2">
        <f>COUNTIF(Register!$A:$A,$A10)</f>
        <v/>
      </c>
      <c r="D10" s="2">
        <f>COUNTIFS(Register!$A:$A,$A10,Register!$R:$R,"?*")</f>
        <v/>
      </c>
      <c r="E10" s="2">
        <f>COUNTIFS(Register!$A:$A,$A10,Register!$S:$S,"?*")</f>
        <v/>
      </c>
      <c r="F10" s="2">
        <f>D10+E10-COUNTIFS(Register!$A:$A,$A10,Register!$R:$R,"?*",Register!$S:$S,"?*")</f>
        <v/>
      </c>
      <c r="G10" s="2">
        <f>C10-F10</f>
        <v/>
      </c>
      <c r="H10" s="11">
        <f>IF(C10=0,"",F10/C10)</f>
        <v/>
      </c>
    </row>
    <row r="11">
      <c r="A11" s="6" t="inlineStr">
        <is>
          <t>10</t>
        </is>
      </c>
      <c r="B11" s="6" t="inlineStr">
        <is>
          <t>Electrical</t>
        </is>
      </c>
      <c r="C11" s="6">
        <f>COUNTIF(Register!$A:$A,$A11)</f>
        <v/>
      </c>
      <c r="D11" s="6">
        <f>COUNTIFS(Register!$A:$A,$A11,Register!$R:$R,"?*")</f>
        <v/>
      </c>
      <c r="E11" s="6">
        <f>COUNTIFS(Register!$A:$A,$A11,Register!$S:$S,"?*")</f>
        <v/>
      </c>
      <c r="F11" s="6">
        <f>D11+E11-COUNTIFS(Register!$A:$A,$A11,Register!$R:$R,"?*",Register!$S:$S,"?*")</f>
        <v/>
      </c>
      <c r="G11" s="6">
        <f>C11-F11</f>
        <v/>
      </c>
      <c r="H11" s="12">
        <f>IF(C11=0,"",F11/C11)</f>
        <v/>
      </c>
    </row>
    <row r="12">
      <c r="A12" s="2" t="inlineStr">
        <is>
          <t>11</t>
        </is>
      </c>
      <c r="B12" s="2" t="inlineStr">
        <is>
          <t>Low Voltage &amp; ICT</t>
        </is>
      </c>
      <c r="C12" s="2">
        <f>COUNTIF(Register!$A:$A,$A12)</f>
        <v/>
      </c>
      <c r="D12" s="2">
        <f>COUNTIFS(Register!$A:$A,$A12,Register!$R:$R,"?*")</f>
        <v/>
      </c>
      <c r="E12" s="2">
        <f>COUNTIFS(Register!$A:$A,$A12,Register!$S:$S,"?*")</f>
        <v/>
      </c>
      <c r="F12" s="2">
        <f>D12+E12-COUNTIFS(Register!$A:$A,$A12,Register!$R:$R,"?*",Register!$S:$S,"?*")</f>
        <v/>
      </c>
      <c r="G12" s="2">
        <f>C12-F12</f>
        <v/>
      </c>
      <c r="H12" s="11">
        <f>IF(C12=0,"",F12/C12)</f>
        <v/>
      </c>
    </row>
    <row r="13">
      <c r="A13" s="6" t="inlineStr">
        <is>
          <t>12</t>
        </is>
      </c>
      <c r="B13" s="6" t="inlineStr">
        <is>
          <t>Lighting</t>
        </is>
      </c>
      <c r="C13" s="6">
        <f>COUNTIF(Register!$A:$A,$A13)</f>
        <v/>
      </c>
      <c r="D13" s="6">
        <f>COUNTIFS(Register!$A:$A,$A13,Register!$R:$R,"?*")</f>
        <v/>
      </c>
      <c r="E13" s="6">
        <f>COUNTIFS(Register!$A:$A,$A13,Register!$S:$S,"?*")</f>
        <v/>
      </c>
      <c r="F13" s="6">
        <f>D13+E13-COUNTIFS(Register!$A:$A,$A13,Register!$R:$R,"?*",Register!$S:$S,"?*")</f>
        <v/>
      </c>
      <c r="G13" s="6">
        <f>C13-F13</f>
        <v/>
      </c>
      <c r="H13" s="12">
        <f>IF(C13=0,"",F13/C13)</f>
        <v/>
      </c>
    </row>
    <row r="14">
      <c r="A14" s="2" t="inlineStr">
        <is>
          <t>13</t>
        </is>
      </c>
      <c r="B14" s="2" t="inlineStr">
        <is>
          <t>HVAC &amp; Mechanical</t>
        </is>
      </c>
      <c r="C14" s="2">
        <f>COUNTIF(Register!$A:$A,$A14)</f>
        <v/>
      </c>
      <c r="D14" s="2">
        <f>COUNTIFS(Register!$A:$A,$A14,Register!$R:$R,"?*")</f>
        <v/>
      </c>
      <c r="E14" s="2">
        <f>COUNTIFS(Register!$A:$A,$A14,Register!$S:$S,"?*")</f>
        <v/>
      </c>
      <c r="F14" s="2">
        <f>D14+E14-COUNTIFS(Register!$A:$A,$A14,Register!$R:$R,"?*",Register!$S:$S,"?*")</f>
        <v/>
      </c>
      <c r="G14" s="2">
        <f>C14-F14</f>
        <v/>
      </c>
      <c r="H14" s="11">
        <f>IF(C14=0,"",F14/C14)</f>
        <v/>
      </c>
    </row>
    <row r="15">
      <c r="A15" s="13" t="n"/>
      <c r="B15" s="13" t="inlineStr">
        <is>
          <t>TOTAL</t>
        </is>
      </c>
      <c r="C15" s="13">
        <f>SUM(C2:C14)</f>
        <v/>
      </c>
      <c r="D15" s="13">
        <f>SUM(D2:D14)</f>
        <v/>
      </c>
      <c r="E15" s="13">
        <f>SUM(E2:E14)</f>
        <v/>
      </c>
      <c r="F15" s="13">
        <f>SUM(F2:F14)</f>
        <v/>
      </c>
      <c r="G15" s="13">
        <f>SUM(G2:G14)</f>
        <v/>
      </c>
      <c r="H15" s="14">
        <f>IF(C15=0,"",F15/C15)</f>
        <v/>
      </c>
    </row>
  </sheetData>
  <conditionalFormatting sqref="H2:H14">
    <cfRule type="cellIs" priority="1" operator="lessThan" dxfId="2">
      <formula>0.25</formula>
    </cfRule>
    <cfRule type="cellIs" priority="2" operator="between" dxfId="1">
      <formula>0.25</formula>
      <formula>0.75</formula>
    </cfRule>
    <cfRule type="cellIs" priority="3" operator="greaterThan" dxfId="0">
      <formula>0.75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M129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2" customWidth="1" min="2" max="2"/>
    <col width="22" customWidth="1" min="3" max="3"/>
    <col width="12" customWidth="1" min="4" max="4"/>
    <col width="38" customWidth="1" min="5" max="5"/>
    <col width="26" customWidth="1" min="6" max="6"/>
    <col width="22" customWidth="1" min="7" max="7"/>
    <col width="22" customWidth="1" min="8" max="8"/>
    <col width="8" customWidth="1" min="9" max="9"/>
    <col width="7" customWidth="1" min="10" max="10"/>
    <col width="16" customWidth="1" min="11" max="11"/>
    <col width="13" customWidth="1" min="12" max="12"/>
    <col width="50" customWidth="1" min="13" max="13"/>
  </cols>
  <sheetData>
    <row r="1" ht="26" customHeight="1">
      <c r="A1" s="1" t="inlineStr">
        <is>
          <t>Disc</t>
        </is>
      </c>
      <c r="B1" s="1" t="inlineStr">
        <is>
          <t>Discipline</t>
        </is>
      </c>
      <c r="C1" s="1" t="inlineStr">
        <is>
          <t>Sub-category</t>
        </is>
      </c>
      <c r="D1" s="1" t="inlineStr">
        <is>
          <t>Code</t>
        </is>
      </c>
      <c r="E1" s="1" t="inlineStr">
        <is>
          <t>Item</t>
        </is>
      </c>
      <c r="F1" s="1" t="inlineStr">
        <is>
          <t>Location</t>
        </is>
      </c>
      <c r="G1" s="1" t="inlineStr">
        <is>
          <t>Manufacturer</t>
        </is>
      </c>
      <c r="H1" s="1" t="inlineStr">
        <is>
          <t>Model</t>
        </is>
      </c>
      <c r="I1" s="1" t="inlineStr">
        <is>
          <t>Qty</t>
        </is>
      </c>
      <c r="J1" s="1" t="inlineStr">
        <is>
          <t>Unit</t>
        </is>
      </c>
      <c r="K1" s="1" t="inlineStr">
        <is>
          <t>Drawing ref</t>
        </is>
      </c>
      <c r="L1" s="1" t="inlineStr">
        <is>
          <t>Spec status</t>
        </is>
      </c>
      <c r="M1" s="1" t="inlineStr">
        <is>
          <t>Notes</t>
        </is>
      </c>
    </row>
    <row r="2">
      <c r="A2" s="2" t="inlineStr">
        <is>
          <t>01</t>
        </is>
      </c>
      <c r="B2" s="2" t="inlineStr">
        <is>
          <t>Plaster</t>
        </is>
      </c>
      <c r="C2" s="3" t="inlineStr">
        <is>
          <t>Plaster Finishes</t>
        </is>
      </c>
      <c r="D2" s="2" t="inlineStr">
        <is>
          <t>PLEX-01</t>
        </is>
      </c>
      <c r="E2" s="3" t="inlineStr">
        <is>
          <t>Plaster Exterior Walls</t>
        </is>
      </c>
      <c r="F2" s="3" t="inlineStr">
        <is>
          <t>Exterior Walls</t>
        </is>
      </c>
      <c r="G2" s="2" t="n"/>
      <c r="H2" s="2" t="n"/>
      <c r="I2" s="4" t="n">
        <v>1548</v>
      </c>
      <c r="J2" s="2" t="inlineStr">
        <is>
          <t>SF</t>
        </is>
      </c>
      <c r="K2" s="2" t="n"/>
      <c r="L2" s="2" t="inlineStr">
        <is>
          <t>unknown</t>
        </is>
      </c>
      <c r="M2" s="3" t="n"/>
    </row>
    <row r="3">
      <c r="A3" s="6" t="inlineStr">
        <is>
          <t>01</t>
        </is>
      </c>
      <c r="B3" s="6" t="inlineStr">
        <is>
          <t>Plaster</t>
        </is>
      </c>
      <c r="C3" s="7" t="inlineStr">
        <is>
          <t>Plaster Finishes</t>
        </is>
      </c>
      <c r="D3" s="6" t="inlineStr">
        <is>
          <t>PLEX-02</t>
        </is>
      </c>
      <c r="E3" s="7" t="inlineStr">
        <is>
          <t>Plaster Exterior Ceilings</t>
        </is>
      </c>
      <c r="F3" s="7" t="inlineStr">
        <is>
          <t>Exterior Ceilings</t>
        </is>
      </c>
      <c r="G3" s="6" t="n"/>
      <c r="H3" s="6" t="n"/>
      <c r="I3" s="8" t="n">
        <v>265</v>
      </c>
      <c r="J3" s="6" t="inlineStr">
        <is>
          <t>SF</t>
        </is>
      </c>
      <c r="K3" s="6" t="n"/>
      <c r="L3" s="6" t="inlineStr">
        <is>
          <t>unknown</t>
        </is>
      </c>
      <c r="M3" s="7" t="n"/>
    </row>
    <row r="4">
      <c r="A4" s="2" t="inlineStr">
        <is>
          <t>01</t>
        </is>
      </c>
      <c r="B4" s="2" t="inlineStr">
        <is>
          <t>Plaster</t>
        </is>
      </c>
      <c r="C4" s="3" t="inlineStr">
        <is>
          <t>Plaster Finishes</t>
        </is>
      </c>
      <c r="D4" s="2" t="inlineStr">
        <is>
          <t>PLIN-01</t>
        </is>
      </c>
      <c r="E4" s="3" t="inlineStr">
        <is>
          <t>Plaster Interior Ceilings</t>
        </is>
      </c>
      <c r="F4" s="3" t="inlineStr">
        <is>
          <t>Interior Ceilings</t>
        </is>
      </c>
      <c r="G4" s="2" t="n"/>
      <c r="H4" s="2" t="n"/>
      <c r="I4" s="4" t="n">
        <v>785</v>
      </c>
      <c r="J4" s="2" t="inlineStr">
        <is>
          <t>SF</t>
        </is>
      </c>
      <c r="K4" s="2" t="n"/>
      <c r="L4" s="2" t="inlineStr">
        <is>
          <t>unknown</t>
        </is>
      </c>
      <c r="M4" s="3" t="n"/>
    </row>
    <row r="5">
      <c r="A5" s="6" t="inlineStr">
        <is>
          <t>01</t>
        </is>
      </c>
      <c r="B5" s="6" t="inlineStr">
        <is>
          <t>Plaster</t>
        </is>
      </c>
      <c r="C5" s="7" t="inlineStr">
        <is>
          <t>Plaster Finishes</t>
        </is>
      </c>
      <c r="D5" s="6" t="inlineStr">
        <is>
          <t>PLIN-02</t>
        </is>
      </c>
      <c r="E5" s="7" t="inlineStr">
        <is>
          <t>Plaster Interior Walls</t>
        </is>
      </c>
      <c r="F5" s="7" t="inlineStr">
        <is>
          <t>Interior Walls</t>
        </is>
      </c>
      <c r="G5" s="6" t="n"/>
      <c r="H5" s="6" t="n"/>
      <c r="I5" s="8" t="n">
        <v>396</v>
      </c>
      <c r="J5" s="6" t="inlineStr">
        <is>
          <t>SF</t>
        </is>
      </c>
      <c r="K5" s="6" t="n"/>
      <c r="L5" s="6" t="inlineStr">
        <is>
          <t>unknown</t>
        </is>
      </c>
      <c r="M5" s="7" t="n"/>
    </row>
    <row r="6">
      <c r="A6" s="2" t="inlineStr">
        <is>
          <t>02</t>
        </is>
      </c>
      <c r="B6" s="2" t="inlineStr">
        <is>
          <t>Stone</t>
        </is>
      </c>
      <c r="C6" s="3" t="inlineStr">
        <is>
          <t>Natural Stone</t>
        </is>
      </c>
      <c r="D6" s="2" t="inlineStr">
        <is>
          <t>Creme du Provence</t>
        </is>
      </c>
      <c r="E6" s="3" t="inlineStr">
        <is>
          <t>Creme du Provence — Column 1-7 cladding (40mm) + Bathroom Vanity legs B3, B4 (20mm)</t>
        </is>
      </c>
      <c r="F6" s="3" t="inlineStr">
        <is>
          <t>Column 1-7 cladding (40mm) + Bathroom Vanity legs B3, B4 (20mm)</t>
        </is>
      </c>
      <c r="G6" s="2" t="n"/>
      <c r="H6" s="2" t="inlineStr">
        <is>
          <t>Millwork schedule</t>
        </is>
      </c>
      <c r="I6" s="4" t="n">
        <v>80</v>
      </c>
      <c r="J6" s="2" t="inlineStr">
        <is>
          <t>pcs</t>
        </is>
      </c>
      <c r="K6" s="2" t="n"/>
      <c r="L6" s="2" t="inlineStr">
        <is>
          <t>unknown</t>
        </is>
      </c>
      <c r="M6" s="3" t="n"/>
    </row>
    <row r="7">
      <c r="A7" s="6" t="inlineStr">
        <is>
          <t>02</t>
        </is>
      </c>
      <c r="B7" s="6" t="inlineStr">
        <is>
          <t>Stone</t>
        </is>
      </c>
      <c r="C7" s="7" t="inlineStr">
        <is>
          <t>Natural Stone</t>
        </is>
      </c>
      <c r="D7" s="6" t="inlineStr">
        <is>
          <t>Mocca Cafe</t>
        </is>
      </c>
      <c r="E7" s="7" t="inlineStr">
        <is>
          <t>Mocca Cafe — Bathroom Vanity countertop B1 + cover strips; Nightstands (left and right)</t>
        </is>
      </c>
      <c r="F7" s="7" t="inlineStr">
        <is>
          <t>Bathroom Vanity countertop B1 + cover strips; Nightstands (left and right)</t>
        </is>
      </c>
      <c r="G7" s="6" t="n"/>
      <c r="H7" s="6" t="inlineStr">
        <is>
          <t>Millwork schedule</t>
        </is>
      </c>
      <c r="I7" s="8" t="n">
        <v>15</v>
      </c>
      <c r="J7" s="6" t="inlineStr">
        <is>
          <t>pcs</t>
        </is>
      </c>
      <c r="K7" s="6" t="n"/>
      <c r="L7" s="6" t="inlineStr">
        <is>
          <t>unknown</t>
        </is>
      </c>
      <c r="M7" s="7" t="n"/>
    </row>
    <row r="8">
      <c r="A8" s="2" t="inlineStr">
        <is>
          <t>02</t>
        </is>
      </c>
      <c r="B8" s="2" t="inlineStr">
        <is>
          <t>Stone</t>
        </is>
      </c>
      <c r="C8" s="3" t="inlineStr">
        <is>
          <t>Natural Stone</t>
        </is>
      </c>
      <c r="D8" s="2" t="inlineStr">
        <is>
          <t>Ocean Black Bricks</t>
        </is>
      </c>
      <c r="E8" s="3" t="inlineStr">
        <is>
          <t>Ocean Black Bricks — Entrance platform and steps, entrance inside, bathroom, walk-in closet, bedroom, terrace and step - 12 zones</t>
        </is>
      </c>
      <c r="F8" s="3" t="inlineStr">
        <is>
          <t>Entrance platform and steps, entrance inside, bathroom, walk-in closet, bedroom, terrace and step - 12 zones</t>
        </is>
      </c>
      <c r="G8" s="2" t="n"/>
      <c r="H8" s="2" t="inlineStr">
        <is>
          <t>Floor / pool take-off</t>
        </is>
      </c>
      <c r="I8" s="4" t="n">
        <v>3370</v>
      </c>
      <c r="J8" s="2" t="inlineStr">
        <is>
          <t>pcs</t>
        </is>
      </c>
      <c r="K8" s="2" t="n"/>
      <c r="L8" s="2" t="inlineStr">
        <is>
          <t>unknown</t>
        </is>
      </c>
      <c r="M8" s="3" t="n"/>
    </row>
    <row r="9">
      <c r="A9" s="6" t="inlineStr">
        <is>
          <t>02</t>
        </is>
      </c>
      <c r="B9" s="6" t="inlineStr">
        <is>
          <t>Stone</t>
        </is>
      </c>
      <c r="C9" s="7" t="inlineStr">
        <is>
          <t>Natural Stone</t>
        </is>
      </c>
      <c r="D9" s="6" t="inlineStr">
        <is>
          <t>Ocean Black Slabs</t>
        </is>
      </c>
      <c r="E9" s="7" t="inlineStr">
        <is>
          <t>Ocean Black Slabs — WC and indoor shower pans, small pan, drain covers, threshold strip, rinse showers</t>
        </is>
      </c>
      <c r="F9" s="7" t="inlineStr">
        <is>
          <t>WC and indoor shower pans, small pan, drain covers, threshold strip, rinse showers</t>
        </is>
      </c>
      <c r="G9" s="6" t="n"/>
      <c r="H9" s="6" t="inlineStr">
        <is>
          <t>Floor / pool take-off</t>
        </is>
      </c>
      <c r="I9" s="8" t="n">
        <v>10</v>
      </c>
      <c r="J9" s="6" t="inlineStr">
        <is>
          <t>pcs</t>
        </is>
      </c>
      <c r="K9" s="6" t="n"/>
      <c r="L9" s="6" t="inlineStr">
        <is>
          <t>unknown</t>
        </is>
      </c>
      <c r="M9" s="7" t="n"/>
    </row>
    <row r="10">
      <c r="A10" s="2" t="inlineStr">
        <is>
          <t>02</t>
        </is>
      </c>
      <c r="B10" s="2" t="inlineStr">
        <is>
          <t>Stone</t>
        </is>
      </c>
      <c r="C10" s="3" t="inlineStr">
        <is>
          <t>Natural Stone</t>
        </is>
      </c>
      <c r="D10" s="2" t="inlineStr">
        <is>
          <t>Red Soraya Travertine</t>
        </is>
      </c>
      <c r="E10" s="3" t="inlineStr">
        <is>
          <t>Red Soraya Travertine — Mini Bar Cabinetry; Closets Behind the Bed (20mm, built up to 76mm)</t>
        </is>
      </c>
      <c r="F10" s="3" t="inlineStr">
        <is>
          <t>Mini Bar Cabinetry; Closets Behind the Bed (20mm, built up to 76mm)</t>
        </is>
      </c>
      <c r="G10" s="2" t="n"/>
      <c r="H10" s="2" t="inlineStr">
        <is>
          <t>Millwork schedule</t>
        </is>
      </c>
      <c r="I10" s="4" t="n">
        <v>18</v>
      </c>
      <c r="J10" s="2" t="inlineStr">
        <is>
          <t>pcs</t>
        </is>
      </c>
      <c r="K10" s="2" t="n"/>
      <c r="L10" s="2" t="inlineStr">
        <is>
          <t>unknown</t>
        </is>
      </c>
      <c r="M10" s="3" t="n"/>
    </row>
    <row r="11">
      <c r="A11" s="6" t="inlineStr">
        <is>
          <t>02</t>
        </is>
      </c>
      <c r="B11" s="6" t="inlineStr">
        <is>
          <t>Stone</t>
        </is>
      </c>
      <c r="C11" s="7" t="inlineStr">
        <is>
          <t>Natural Stone</t>
        </is>
      </c>
      <c r="D11" s="6" t="inlineStr">
        <is>
          <t>Sukabumi Slabs</t>
        </is>
      </c>
      <c r="E11" s="7" t="inlineStr">
        <is>
          <t>Sukabumi Slabs — Pool floors and stair steps, deep walls and stair risers, shallow walls, through-basin walls</t>
        </is>
      </c>
      <c r="F11" s="7" t="inlineStr">
        <is>
          <t>Pool floors and stair steps, deep walls and stair risers, shallow walls, through-basin walls</t>
        </is>
      </c>
      <c r="G11" s="6" t="n"/>
      <c r="H11" s="6" t="inlineStr">
        <is>
          <t>Floor / pool take-off</t>
        </is>
      </c>
      <c r="I11" s="8" t="n">
        <v>2224</v>
      </c>
      <c r="J11" s="6" t="inlineStr">
        <is>
          <t>pcs</t>
        </is>
      </c>
      <c r="K11" s="6" t="n"/>
      <c r="L11" s="6" t="inlineStr">
        <is>
          <t>unknown</t>
        </is>
      </c>
      <c r="M11" s="7" t="n"/>
    </row>
    <row r="12">
      <c r="A12" s="2" t="inlineStr">
        <is>
          <t>02</t>
        </is>
      </c>
      <c r="B12" s="2" t="inlineStr">
        <is>
          <t>Stone</t>
        </is>
      </c>
      <c r="C12" s="3" t="inlineStr">
        <is>
          <t>Natural Stone</t>
        </is>
      </c>
      <c r="D12" s="2" t="inlineStr">
        <is>
          <t>Tundra Beige</t>
        </is>
      </c>
      <c r="E12" s="3" t="inlineStr">
        <is>
          <t>Tundra Beige — Outdoor Terrace Bench; Indoor Shower Bench &amp; Towel Hanger (A1-A9); Bathroom Vanity B2; Outdoor Towel Hanger (G1-G5); Day Bed H2/H3; Outdoor Entry Door Bench</t>
        </is>
      </c>
      <c r="F12" s="3" t="inlineStr">
        <is>
          <t>Outdoor Terrace Bench; Indoor Shower Bench &amp; Towel Hanger (A1-A9); Bathroom Vanity B2; Outdoor Towel Hanger (G1-G5); Day Bed H2/H3; Outdoor Entry Door Bench</t>
        </is>
      </c>
      <c r="G12" s="2" t="n"/>
      <c r="H12" s="2" t="inlineStr">
        <is>
          <t>Millwork schedule</t>
        </is>
      </c>
      <c r="I12" s="4" t="n">
        <v>77</v>
      </c>
      <c r="J12" s="2" t="inlineStr">
        <is>
          <t>pcs</t>
        </is>
      </c>
      <c r="K12" s="2" t="n"/>
      <c r="L12" s="2" t="inlineStr">
        <is>
          <t>unknown</t>
        </is>
      </c>
      <c r="M12" s="3" t="n"/>
    </row>
    <row r="13">
      <c r="A13" s="6" t="inlineStr">
        <is>
          <t>03</t>
        </is>
      </c>
      <c r="B13" s="6" t="inlineStr">
        <is>
          <t>Doors</t>
        </is>
      </c>
      <c r="C13" s="7" t="inlineStr">
        <is>
          <t>Door Hardware &amp; Ironmongery</t>
        </is>
      </c>
      <c r="D13" s="6" t="inlineStr">
        <is>
          <t>1 | D-01,D-02,D-03</t>
        </is>
      </c>
      <c r="E13" s="7" t="inlineStr">
        <is>
          <t>Concealed door hinge, flush interior doors up to 80/100 kg, brushed copper</t>
        </is>
      </c>
      <c r="F13" s="7" t="inlineStr">
        <is>
          <t>W.C., Entrance, Bathroom</t>
        </is>
      </c>
      <c r="G13" s="6" t="inlineStr">
        <is>
          <t>Haefele</t>
        </is>
      </c>
      <c r="H13" s="6" t="n"/>
      <c r="I13" s="8" t="n">
        <v>18</v>
      </c>
      <c r="J13" s="6" t="inlineStr">
        <is>
          <t>no</t>
        </is>
      </c>
      <c r="K13" s="6" t="inlineStr">
        <is>
          <t>A11-02/03/04</t>
        </is>
      </c>
      <c r="L13" s="6" t="inlineStr">
        <is>
          <t>not_started</t>
        </is>
      </c>
      <c r="M13" s="7" t="n"/>
    </row>
    <row r="14">
      <c r="A14" s="2" t="inlineStr">
        <is>
          <t>03</t>
        </is>
      </c>
      <c r="B14" s="2" t="inlineStr">
        <is>
          <t>Doors</t>
        </is>
      </c>
      <c r="C14" s="3" t="inlineStr">
        <is>
          <t>Door Hardware &amp; Ironmongery</t>
        </is>
      </c>
      <c r="D14" s="2" t="inlineStr">
        <is>
          <t>2 | D-01</t>
        </is>
      </c>
      <c r="E14" s="3" t="inlineStr">
        <is>
          <t>Lever handle set; NE-Black Chrome</t>
        </is>
      </c>
      <c r="F14" s="3" t="inlineStr">
        <is>
          <t>Doors</t>
        </is>
      </c>
      <c r="G14" s="2" t="inlineStr">
        <is>
          <t>Salto</t>
        </is>
      </c>
      <c r="H14" s="2" t="inlineStr">
        <is>
          <t>Salto Standard Line / London Model</t>
        </is>
      </c>
      <c r="I14" s="4" t="n">
        <v>3</v>
      </c>
      <c r="J14" s="2" t="inlineStr">
        <is>
          <t>set</t>
        </is>
      </c>
      <c r="K14" s="2" t="inlineStr">
        <is>
          <t>A11-02/03/04</t>
        </is>
      </c>
      <c r="L14" s="2" t="inlineStr">
        <is>
          <t>not_started</t>
        </is>
      </c>
      <c r="M14" s="3" t="n"/>
    </row>
    <row r="15">
      <c r="A15" s="6" t="inlineStr">
        <is>
          <t>03</t>
        </is>
      </c>
      <c r="B15" s="6" t="inlineStr">
        <is>
          <t>Doors</t>
        </is>
      </c>
      <c r="C15" s="7" t="inlineStr">
        <is>
          <t>Door Hardware &amp; Ironmongery</t>
        </is>
      </c>
      <c r="D15" s="6" t="inlineStr">
        <is>
          <t>2.2 | D-03</t>
        </is>
      </c>
      <c r="E15" s="7" t="inlineStr">
        <is>
          <t>Teak Wood Handle</t>
        </is>
      </c>
      <c r="F15" s="7" t="inlineStr">
        <is>
          <t>W.I.C</t>
        </is>
      </c>
      <c r="G15" s="6" t="inlineStr">
        <is>
          <t>CBMmart</t>
        </is>
      </c>
      <c r="H15" s="6" t="inlineStr">
        <is>
          <t>Exterior Grade Teak Wood Planks and Regular Teak Wood Planks</t>
        </is>
      </c>
      <c r="I15" s="8" t="n">
        <v>3</v>
      </c>
      <c r="J15" s="6" t="n"/>
      <c r="K15" s="6" t="inlineStr">
        <is>
          <t>A11-02/03/06</t>
        </is>
      </c>
      <c r="L15" s="6" t="inlineStr">
        <is>
          <t>unknown</t>
        </is>
      </c>
      <c r="M15" s="7" t="n"/>
    </row>
    <row r="16">
      <c r="A16" s="2" t="inlineStr">
        <is>
          <t>03</t>
        </is>
      </c>
      <c r="B16" s="2" t="inlineStr">
        <is>
          <t>Doors</t>
        </is>
      </c>
      <c r="C16" s="3" t="inlineStr">
        <is>
          <t>Door Hardware &amp; Ironmongery</t>
        </is>
      </c>
      <c r="D16" s="2" t="inlineStr">
        <is>
          <t>4 | D-04</t>
        </is>
      </c>
      <c r="E16" s="3" t="inlineStr">
        <is>
          <t>Privacy Thumb Turn</t>
        </is>
      </c>
      <c r="F16" s="3" t="inlineStr">
        <is>
          <t>W.C.</t>
        </is>
      </c>
      <c r="G16" s="2" t="inlineStr">
        <is>
          <t>Salto</t>
        </is>
      </c>
      <c r="H16" s="2" t="inlineStr">
        <is>
          <t>Sargent 8200 Series</t>
        </is>
      </c>
      <c r="I16" s="4" t="n">
        <v>1</v>
      </c>
      <c r="J16" s="2" t="inlineStr">
        <is>
          <t>no</t>
        </is>
      </c>
      <c r="K16" s="2" t="inlineStr">
        <is>
          <t>A11-04</t>
        </is>
      </c>
      <c r="L16" s="2" t="inlineStr">
        <is>
          <t>not_started</t>
        </is>
      </c>
      <c r="M16" s="3" t="n"/>
    </row>
    <row r="17">
      <c r="A17" s="6" t="inlineStr">
        <is>
          <t>03</t>
        </is>
      </c>
      <c r="B17" s="6" t="inlineStr">
        <is>
          <t>Doors</t>
        </is>
      </c>
      <c r="C17" s="7" t="inlineStr">
        <is>
          <t>Door Hardware &amp; Ironmongery</t>
        </is>
      </c>
      <c r="D17" s="6" t="inlineStr">
        <is>
          <t>5 | D-01</t>
        </is>
      </c>
      <c r="E17" s="7" t="inlineStr">
        <is>
          <t>Startec door viewer, brushed brass</t>
        </is>
      </c>
      <c r="F17" s="7" t="inlineStr">
        <is>
          <t>Entrance</t>
        </is>
      </c>
      <c r="G17" s="6" t="inlineStr">
        <is>
          <t>Hafele</t>
        </is>
      </c>
      <c r="H17" s="6" t="inlineStr">
        <is>
          <t>Startec 200° 82mm door viewer</t>
        </is>
      </c>
      <c r="I17" s="8" t="n">
        <v>1</v>
      </c>
      <c r="J17" s="6" t="inlineStr">
        <is>
          <t>no</t>
        </is>
      </c>
      <c r="K17" s="6" t="inlineStr">
        <is>
          <t>A11-02</t>
        </is>
      </c>
      <c r="L17" s="6" t="inlineStr">
        <is>
          <t>not_started</t>
        </is>
      </c>
      <c r="M17" s="7" t="n"/>
    </row>
    <row r="18">
      <c r="A18" s="2" t="inlineStr">
        <is>
          <t>03</t>
        </is>
      </c>
      <c r="B18" s="2" t="inlineStr">
        <is>
          <t>Doors</t>
        </is>
      </c>
      <c r="C18" s="3" t="inlineStr">
        <is>
          <t>Door Hardware &amp; Ironmongery</t>
        </is>
      </c>
      <c r="D18" s="2" t="inlineStr">
        <is>
          <t>6 | D-03</t>
        </is>
      </c>
      <c r="E18" s="3" t="inlineStr">
        <is>
          <t>Sliding door running gear (80/100 8-piece system)</t>
        </is>
      </c>
      <c r="F18" s="3" t="inlineStr">
        <is>
          <t>Closet</t>
        </is>
      </c>
      <c r="G18" s="2" t="inlineStr">
        <is>
          <t>Hafele</t>
        </is>
      </c>
      <c r="H18" s="2" t="inlineStr">
        <is>
          <t>Junior 80/B-Pocket</t>
        </is>
      </c>
      <c r="I18" s="4" t="n">
        <v>1</v>
      </c>
      <c r="J18" s="2" t="inlineStr">
        <is>
          <t>set</t>
        </is>
      </c>
      <c r="K18" s="2" t="inlineStr">
        <is>
          <t>A11-03</t>
        </is>
      </c>
      <c r="L18" s="2" t="inlineStr">
        <is>
          <t>not_started</t>
        </is>
      </c>
      <c r="M18" s="3" t="n"/>
    </row>
    <row r="19">
      <c r="A19" s="6" t="inlineStr">
        <is>
          <t>03</t>
        </is>
      </c>
      <c r="B19" s="6" t="inlineStr">
        <is>
          <t>Doors</t>
        </is>
      </c>
      <c r="C19" s="7" t="inlineStr">
        <is>
          <t>Door Hardware &amp; Ironmongery</t>
        </is>
      </c>
      <c r="D19" s="6" t="inlineStr">
        <is>
          <t>7.1 | D-02,D-03,D-04</t>
        </is>
      </c>
      <c r="E19" s="7" t="inlineStr">
        <is>
          <t>Sealing rubber frame strips</t>
        </is>
      </c>
      <c r="F19" s="7" t="inlineStr">
        <is>
          <t>All doors</t>
        </is>
      </c>
      <c r="G19" s="6" t="inlineStr">
        <is>
          <t>Reflect</t>
        </is>
      </c>
      <c r="H19" s="6" t="n"/>
      <c r="I19" s="8" t="n">
        <v>3</v>
      </c>
      <c r="J19" s="6" t="inlineStr">
        <is>
          <t>lot</t>
        </is>
      </c>
      <c r="K19" s="6" t="inlineStr">
        <is>
          <t>A11-02/03/04</t>
        </is>
      </c>
      <c r="L19" s="6" t="inlineStr">
        <is>
          <t>not_started</t>
        </is>
      </c>
      <c r="M19" s="7" t="n"/>
    </row>
    <row r="20">
      <c r="A20" s="2" t="inlineStr">
        <is>
          <t>03</t>
        </is>
      </c>
      <c r="B20" s="2" t="inlineStr">
        <is>
          <t>Doors</t>
        </is>
      </c>
      <c r="C20" s="3" t="inlineStr">
        <is>
          <t>Wooden Doors (Leaves &amp; Frames)</t>
        </is>
      </c>
      <c r="D20" s="2" t="inlineStr">
        <is>
          <t>1 | S-01</t>
        </is>
      </c>
      <c r="E20" s="3" t="inlineStr">
        <is>
          <t>Bedroom shutter - fixed glass + openable louver + roll blackout</t>
        </is>
      </c>
      <c r="F20" s="3" t="inlineStr">
        <is>
          <t>Bedroom</t>
        </is>
      </c>
      <c r="G20" s="2" t="n"/>
      <c r="H20" s="2" t="inlineStr">
        <is>
          <t>Teak hardwood + tempered glass</t>
        </is>
      </c>
      <c r="I20" s="4" t="n">
        <v>1</v>
      </c>
      <c r="J20" s="2" t="inlineStr">
        <is>
          <t>no</t>
        </is>
      </c>
      <c r="K20" s="2" t="inlineStr">
        <is>
          <t>A11-02</t>
        </is>
      </c>
      <c r="L20" s="2" t="inlineStr">
        <is>
          <t>in_progress</t>
        </is>
      </c>
      <c r="M20" s="3" t="inlineStr">
        <is>
          <t>Finish TBC by MMM. Blackout Lutron R64 = shades (separate scope)</t>
        </is>
      </c>
    </row>
    <row r="21">
      <c r="A21" s="6" t="inlineStr">
        <is>
          <t>03</t>
        </is>
      </c>
      <c r="B21" s="6" t="inlineStr">
        <is>
          <t>Doors</t>
        </is>
      </c>
      <c r="C21" s="7" t="inlineStr">
        <is>
          <t>Wooden Doors (Leaves &amp; Frames)</t>
        </is>
      </c>
      <c r="D21" s="6" t="inlineStr">
        <is>
          <t>2 | S-02</t>
        </is>
      </c>
      <c r="E21" s="7" t="inlineStr">
        <is>
          <t>Outside living sliding louver doors</t>
        </is>
      </c>
      <c r="F21" s="7" t="inlineStr">
        <is>
          <t>Outdoor living</t>
        </is>
      </c>
      <c r="G21" s="6" t="n"/>
      <c r="H21" s="6" t="inlineStr">
        <is>
          <t>Teak hardwood + tempered glass</t>
        </is>
      </c>
      <c r="I21" s="8" t="n">
        <v>1</v>
      </c>
      <c r="J21" s="6" t="inlineStr">
        <is>
          <t>no</t>
        </is>
      </c>
      <c r="K21" s="6" t="inlineStr">
        <is>
          <t>A11-02</t>
        </is>
      </c>
      <c r="L21" s="6" t="inlineStr">
        <is>
          <t>in_progress</t>
        </is>
      </c>
      <c r="M21" s="7" t="inlineStr">
        <is>
          <t>Sliding louver on track</t>
        </is>
      </c>
    </row>
    <row r="22">
      <c r="A22" s="2" t="inlineStr">
        <is>
          <t>03</t>
        </is>
      </c>
      <c r="B22" s="2" t="inlineStr">
        <is>
          <t>Doors</t>
        </is>
      </c>
      <c r="C22" s="3" t="inlineStr">
        <is>
          <t>Wooden Doors (Leaves &amp; Frames)</t>
        </is>
      </c>
      <c r="D22" s="2" t="inlineStr">
        <is>
          <t>3 | D-01</t>
        </is>
      </c>
      <c r="E22" s="3" t="inlineStr">
        <is>
          <t>Entrance door - fixed + swinging</t>
        </is>
      </c>
      <c r="F22" s="3" t="inlineStr">
        <is>
          <t>Entrance</t>
        </is>
      </c>
      <c r="G22" s="2" t="n"/>
      <c r="H22" s="2" t="inlineStr">
        <is>
          <t>Teak hardwood / plywood</t>
        </is>
      </c>
      <c r="I22" s="4" t="n">
        <v>1</v>
      </c>
      <c r="J22" s="2" t="inlineStr">
        <is>
          <t>no</t>
        </is>
      </c>
      <c r="K22" s="2" t="inlineStr">
        <is>
          <t>A11-02</t>
        </is>
      </c>
      <c r="L22" s="2" t="inlineStr">
        <is>
          <t>in_progress</t>
        </is>
      </c>
      <c r="M22" s="3" t="inlineStr">
        <is>
          <t>6 concealed hinges</t>
        </is>
      </c>
    </row>
    <row r="23">
      <c r="A23" s="6" t="inlineStr">
        <is>
          <t>03</t>
        </is>
      </c>
      <c r="B23" s="6" t="inlineStr">
        <is>
          <t>Doors</t>
        </is>
      </c>
      <c r="C23" s="7" t="inlineStr">
        <is>
          <t>Wooden Doors (Leaves &amp; Frames)</t>
        </is>
      </c>
      <c r="D23" s="6" t="inlineStr">
        <is>
          <t>4 | D-02</t>
        </is>
      </c>
      <c r="E23" s="7" t="inlineStr">
        <is>
          <t>Bathroom door - swinging</t>
        </is>
      </c>
      <c r="F23" s="7" t="inlineStr">
        <is>
          <t>Bathroom</t>
        </is>
      </c>
      <c r="G23" s="6" t="n"/>
      <c r="H23" s="6" t="inlineStr">
        <is>
          <t>Teak hardwood / plywood</t>
        </is>
      </c>
      <c r="I23" s="8" t="n">
        <v>1</v>
      </c>
      <c r="J23" s="6" t="inlineStr">
        <is>
          <t>no</t>
        </is>
      </c>
      <c r="K23" s="6" t="inlineStr">
        <is>
          <t>A11-03</t>
        </is>
      </c>
      <c r="L23" s="6" t="inlineStr">
        <is>
          <t>in_progress</t>
        </is>
      </c>
      <c r="M23" s="7" t="n"/>
    </row>
    <row r="24">
      <c r="A24" s="2" t="inlineStr">
        <is>
          <t>03</t>
        </is>
      </c>
      <c r="B24" s="2" t="inlineStr">
        <is>
          <t>Doors</t>
        </is>
      </c>
      <c r="C24" s="3" t="inlineStr">
        <is>
          <t>Wooden Doors (Leaves &amp; Frames)</t>
        </is>
      </c>
      <c r="D24" s="2" t="inlineStr">
        <is>
          <t>5 | D-03</t>
        </is>
      </c>
      <c r="E24" s="3" t="inlineStr">
        <is>
          <t>Walk-in closet - sliding louvered doors</t>
        </is>
      </c>
      <c r="F24" s="3" t="inlineStr">
        <is>
          <t>Closet</t>
        </is>
      </c>
      <c r="G24" s="2" t="n"/>
      <c r="H24" s="2" t="inlineStr">
        <is>
          <t>Teak hardwood / plywood</t>
        </is>
      </c>
      <c r="I24" s="4" t="n">
        <v>1</v>
      </c>
      <c r="J24" s="2" t="inlineStr">
        <is>
          <t>no</t>
        </is>
      </c>
      <c r="K24" s="2" t="inlineStr">
        <is>
          <t>A11-03</t>
        </is>
      </c>
      <c r="L24" s="2" t="inlineStr">
        <is>
          <t>in_progress</t>
        </is>
      </c>
      <c r="M24" s="3" t="n"/>
    </row>
    <row r="25">
      <c r="A25" s="6" t="inlineStr">
        <is>
          <t>03</t>
        </is>
      </c>
      <c r="B25" s="6" t="inlineStr">
        <is>
          <t>Doors</t>
        </is>
      </c>
      <c r="C25" s="7" t="inlineStr">
        <is>
          <t>Wooden Doors (Leaves &amp; Frames)</t>
        </is>
      </c>
      <c r="D25" s="6" t="inlineStr">
        <is>
          <t>6 | D-04</t>
        </is>
      </c>
      <c r="E25" s="7" t="inlineStr">
        <is>
          <t>W.C. door - swinging</t>
        </is>
      </c>
      <c r="F25" s="7" t="inlineStr">
        <is>
          <t>W.C.</t>
        </is>
      </c>
      <c r="G25" s="6" t="n"/>
      <c r="H25" s="6" t="inlineStr">
        <is>
          <t>Teak hardwood / plywood</t>
        </is>
      </c>
      <c r="I25" s="8" t="n">
        <v>1</v>
      </c>
      <c r="J25" s="6" t="inlineStr">
        <is>
          <t>no</t>
        </is>
      </c>
      <c r="K25" s="6" t="inlineStr">
        <is>
          <t>A11-04</t>
        </is>
      </c>
      <c r="L25" s="6" t="inlineStr">
        <is>
          <t>in_progress</t>
        </is>
      </c>
      <c r="M25" s="7" t="n"/>
    </row>
    <row r="26">
      <c r="A26" s="2" t="inlineStr">
        <is>
          <t>04</t>
        </is>
      </c>
      <c r="B26" s="2" t="inlineStr">
        <is>
          <t>Glazing</t>
        </is>
      </c>
      <c r="C26" s="3" t="inlineStr">
        <is>
          <t>Glass &amp; Framing</t>
        </is>
      </c>
      <c r="D26" s="2" t="inlineStr">
        <is>
          <t>1 | GL.01</t>
        </is>
      </c>
      <c r="E26" s="3" t="inlineStr">
        <is>
          <t>Sliding glazed door into pocket (19 ft 9 in x 9 ft 3-3/4 in)</t>
        </is>
      </c>
      <c r="F26" s="3" t="inlineStr">
        <is>
          <t>Bedroom</t>
        </is>
      </c>
      <c r="G26" s="2" t="inlineStr">
        <is>
          <t>Assumed ES Windows</t>
        </is>
      </c>
      <c r="H26" s="2" t="inlineStr">
        <is>
          <t>Clear glass; structural aluminium, custom anodized</t>
        </is>
      </c>
      <c r="I26" s="4" t="n">
        <v>1</v>
      </c>
      <c r="J26" s="2" t="inlineStr">
        <is>
          <t>no</t>
        </is>
      </c>
      <c r="K26" s="2" t="inlineStr">
        <is>
          <t>A12-02</t>
        </is>
      </c>
      <c r="L26" s="2" t="inlineStr">
        <is>
          <t>in_progress</t>
        </is>
      </c>
      <c r="M26" s="3" t="n"/>
    </row>
    <row r="27">
      <c r="A27" s="6" t="inlineStr">
        <is>
          <t>04</t>
        </is>
      </c>
      <c r="B27" s="6" t="inlineStr">
        <is>
          <t>Glazing</t>
        </is>
      </c>
      <c r="C27" s="7" t="inlineStr">
        <is>
          <t>Glass &amp; Framing</t>
        </is>
      </c>
      <c r="D27" s="6" t="inlineStr">
        <is>
          <t>2 | GL.02</t>
        </is>
      </c>
      <c r="E27" s="7" t="inlineStr">
        <is>
          <t>Sliding glazed door into pocket (8 ft 1-1/2 in x 9 ft 3-3/4 in)</t>
        </is>
      </c>
      <c r="F27" s="7" t="inlineStr">
        <is>
          <t>Bathroom</t>
        </is>
      </c>
      <c r="G27" s="6" t="inlineStr">
        <is>
          <t>Assumed ES Windows</t>
        </is>
      </c>
      <c r="H27" s="6" t="inlineStr">
        <is>
          <t>Clear glass; structural aluminium, custom anodized</t>
        </is>
      </c>
      <c r="I27" s="8" t="n">
        <v>1</v>
      </c>
      <c r="J27" s="6" t="inlineStr">
        <is>
          <t>no</t>
        </is>
      </c>
      <c r="K27" s="6" t="inlineStr">
        <is>
          <t>A12-02</t>
        </is>
      </c>
      <c r="L27" s="6" t="inlineStr">
        <is>
          <t>in_progress</t>
        </is>
      </c>
      <c r="M27" s="7" t="n"/>
    </row>
    <row r="28">
      <c r="A28" s="2" t="inlineStr">
        <is>
          <t>04</t>
        </is>
      </c>
      <c r="B28" s="2" t="inlineStr">
        <is>
          <t>Glazing</t>
        </is>
      </c>
      <c r="C28" s="3" t="inlineStr">
        <is>
          <t>Glass &amp; Framing</t>
        </is>
      </c>
      <c r="D28" s="2" t="inlineStr">
        <is>
          <t>3 | GL.03</t>
        </is>
      </c>
      <c r="E28" s="3" t="inlineStr">
        <is>
          <t>Fixed window (4 ft 1 in x 9 ft 3-3/4 in)</t>
        </is>
      </c>
      <c r="F28" s="3" t="inlineStr">
        <is>
          <t>Bedroom/entrance/bath</t>
        </is>
      </c>
      <c r="G28" s="2" t="inlineStr">
        <is>
          <t>Assumed ES Windows</t>
        </is>
      </c>
      <c r="H28" s="2" t="inlineStr">
        <is>
          <t>Clear glass; structural aluminium, custom anodized</t>
        </is>
      </c>
      <c r="I28" s="4" t="n">
        <v>5</v>
      </c>
      <c r="J28" s="2" t="inlineStr">
        <is>
          <t>no</t>
        </is>
      </c>
      <c r="K28" s="2" t="inlineStr">
        <is>
          <t>A12-02</t>
        </is>
      </c>
      <c r="L28" s="2" t="inlineStr">
        <is>
          <t>in_progress</t>
        </is>
      </c>
      <c r="M28" s="3" t="n"/>
    </row>
    <row r="29">
      <c r="A29" s="6" t="inlineStr">
        <is>
          <t>04</t>
        </is>
      </c>
      <c r="B29" s="6" t="inlineStr">
        <is>
          <t>Glazing</t>
        </is>
      </c>
      <c r="C29" s="7" t="inlineStr">
        <is>
          <t>Glass &amp; Framing</t>
        </is>
      </c>
      <c r="D29" s="6" t="inlineStr">
        <is>
          <t>4 | GL.04</t>
        </is>
      </c>
      <c r="E29" s="7" t="inlineStr">
        <is>
          <t>Fixed window (1 ft 6 in x 9 ft 3-3/4 in)</t>
        </is>
      </c>
      <c r="F29" s="7" t="inlineStr">
        <is>
          <t>Bathroom</t>
        </is>
      </c>
      <c r="G29" s="6" t="inlineStr">
        <is>
          <t>Assumed ES Windows</t>
        </is>
      </c>
      <c r="H29" s="6" t="inlineStr">
        <is>
          <t>Clear glass; structural aluminium, custom anodized</t>
        </is>
      </c>
      <c r="I29" s="8" t="n">
        <v>2</v>
      </c>
      <c r="J29" s="6" t="inlineStr">
        <is>
          <t>no</t>
        </is>
      </c>
      <c r="K29" s="6" t="inlineStr">
        <is>
          <t>A12-02</t>
        </is>
      </c>
      <c r="L29" s="6" t="inlineStr">
        <is>
          <t>in_progress</t>
        </is>
      </c>
      <c r="M29" s="7" t="n"/>
    </row>
    <row r="30">
      <c r="A30" s="2" t="inlineStr">
        <is>
          <t>04</t>
        </is>
      </c>
      <c r="B30" s="2" t="inlineStr">
        <is>
          <t>Glazing</t>
        </is>
      </c>
      <c r="C30" s="3" t="inlineStr">
        <is>
          <t>Glass &amp; Framing</t>
        </is>
      </c>
      <c r="D30" s="2" t="inlineStr">
        <is>
          <t>5 | GL.05</t>
        </is>
      </c>
      <c r="E30" s="3" t="inlineStr">
        <is>
          <t>Sliding glazed door into pocket (11 ft 11-1/2 in x 9 ft 3-3/4 in)</t>
        </is>
      </c>
      <c r="F30" s="3" t="inlineStr">
        <is>
          <t>Bedroom</t>
        </is>
      </c>
      <c r="G30" s="2" t="inlineStr">
        <is>
          <t>Assumed ES Windows</t>
        </is>
      </c>
      <c r="H30" s="2" t="inlineStr">
        <is>
          <t>Clear glass; structural aluminium, custom anodized</t>
        </is>
      </c>
      <c r="I30" s="4" t="n">
        <v>1</v>
      </c>
      <c r="J30" s="2" t="inlineStr">
        <is>
          <t>no</t>
        </is>
      </c>
      <c r="K30" s="2" t="inlineStr">
        <is>
          <t>A12-03</t>
        </is>
      </c>
      <c r="L30" s="2" t="inlineStr">
        <is>
          <t>in_progress</t>
        </is>
      </c>
      <c r="M30" s="3" t="n"/>
    </row>
    <row r="31">
      <c r="A31" s="6" t="inlineStr">
        <is>
          <t>04</t>
        </is>
      </c>
      <c r="B31" s="6" t="inlineStr">
        <is>
          <t>Glazing</t>
        </is>
      </c>
      <c r="C31" s="7" t="inlineStr">
        <is>
          <t>Glass &amp; Framing</t>
        </is>
      </c>
      <c r="D31" s="6" t="inlineStr">
        <is>
          <t>6 | GL.06</t>
        </is>
      </c>
      <c r="E31" s="7" t="inlineStr">
        <is>
          <t>Fixed window (small, bathroom)</t>
        </is>
      </c>
      <c r="F31" s="7" t="inlineStr">
        <is>
          <t>Bathroom</t>
        </is>
      </c>
      <c r="G31" s="6" t="inlineStr">
        <is>
          <t>Assumed ES Windows</t>
        </is>
      </c>
      <c r="H31" s="6" t="inlineStr">
        <is>
          <t>Clear glass; structural aluminium, custom anodized</t>
        </is>
      </c>
      <c r="I31" s="8" t="n">
        <v>1</v>
      </c>
      <c r="J31" s="6" t="inlineStr">
        <is>
          <t>no</t>
        </is>
      </c>
      <c r="K31" s="6" t="inlineStr">
        <is>
          <t>A12-03</t>
        </is>
      </c>
      <c r="L31" s="6" t="inlineStr">
        <is>
          <t>in_progress</t>
        </is>
      </c>
      <c r="M31" s="7" t="n"/>
    </row>
    <row r="32">
      <c r="A32" s="2" t="inlineStr">
        <is>
          <t>04</t>
        </is>
      </c>
      <c r="B32" s="2" t="inlineStr">
        <is>
          <t>Glazing</t>
        </is>
      </c>
      <c r="C32" s="3" t="inlineStr">
        <is>
          <t>Glass &amp; Framing</t>
        </is>
      </c>
      <c r="D32" s="2" t="inlineStr">
        <is>
          <t>7 | GL.07</t>
        </is>
      </c>
      <c r="E32" s="3" t="inlineStr">
        <is>
          <t>Swinging (hinged) glazed door (2 ft 8 in x 9 ft)</t>
        </is>
      </c>
      <c r="F32" s="3" t="inlineStr">
        <is>
          <t>Bathroom</t>
        </is>
      </c>
      <c r="G32" s="2" t="inlineStr">
        <is>
          <t>Assumed ES Windows</t>
        </is>
      </c>
      <c r="H32" s="2" t="inlineStr">
        <is>
          <t>Clear glass; structural aluminium, custom anodized</t>
        </is>
      </c>
      <c r="I32" s="4" t="n">
        <v>1</v>
      </c>
      <c r="J32" s="2" t="inlineStr">
        <is>
          <t>no</t>
        </is>
      </c>
      <c r="K32" s="2" t="inlineStr">
        <is>
          <t>A12-03</t>
        </is>
      </c>
      <c r="L32" s="2" t="inlineStr">
        <is>
          <t>in_progress</t>
        </is>
      </c>
      <c r="M32" s="3" t="n"/>
    </row>
    <row r="33">
      <c r="A33" s="6" t="inlineStr">
        <is>
          <t>04</t>
        </is>
      </c>
      <c r="B33" s="6" t="inlineStr">
        <is>
          <t>Glazing</t>
        </is>
      </c>
      <c r="C33" s="7" t="inlineStr">
        <is>
          <t>Glass &amp; Framing</t>
        </is>
      </c>
      <c r="D33" s="6" t="inlineStr">
        <is>
          <t>8 | GL.08</t>
        </is>
      </c>
      <c r="E33" s="7" t="inlineStr">
        <is>
          <t>Swinging (hinged) glazed door (4 ft 1 in x 9 ft 3-3/4 in)</t>
        </is>
      </c>
      <c r="F33" s="7" t="inlineStr">
        <is>
          <t>Bathroom</t>
        </is>
      </c>
      <c r="G33" s="6" t="inlineStr">
        <is>
          <t>Assumed ES Windows</t>
        </is>
      </c>
      <c r="H33" s="6" t="inlineStr">
        <is>
          <t>Clear glass; structural aluminium, custom anodized</t>
        </is>
      </c>
      <c r="I33" s="8" t="n">
        <v>1</v>
      </c>
      <c r="J33" s="6" t="inlineStr">
        <is>
          <t>no</t>
        </is>
      </c>
      <c r="K33" s="6" t="inlineStr">
        <is>
          <t>A12-03</t>
        </is>
      </c>
      <c r="L33" s="6" t="inlineStr">
        <is>
          <t>in_progress</t>
        </is>
      </c>
      <c r="M33" s="7" t="n"/>
    </row>
    <row r="34">
      <c r="A34" s="2" t="inlineStr">
        <is>
          <t>04</t>
        </is>
      </c>
      <c r="B34" s="2" t="inlineStr">
        <is>
          <t>Glazing</t>
        </is>
      </c>
      <c r="C34" s="3" t="inlineStr">
        <is>
          <t>Glazing Hardware &amp; Sliding Gear</t>
        </is>
      </c>
      <c r="D34" s="2" t="inlineStr">
        <is>
          <t>1</t>
        </is>
      </c>
      <c r="E34" s="3" t="inlineStr">
        <is>
          <t>Double handle with invisible integrated lock</t>
        </is>
      </c>
      <c r="F34" s="3" t="inlineStr">
        <is>
          <t>Glazed doors</t>
        </is>
      </c>
      <c r="G34" s="2" t="inlineStr">
        <is>
          <t>Ottima</t>
        </is>
      </c>
      <c r="H34" s="2" t="n"/>
      <c r="I34" s="4" t="n">
        <v>5</v>
      </c>
      <c r="J34" s="2" t="inlineStr">
        <is>
          <t>set</t>
        </is>
      </c>
      <c r="K34" s="2" t="inlineStr">
        <is>
          <t>A12-02/03</t>
        </is>
      </c>
      <c r="L34" s="2" t="inlineStr">
        <is>
          <t>in_progress</t>
        </is>
      </c>
      <c r="M34" s="3" t="n"/>
    </row>
    <row r="35">
      <c r="A35" s="6" t="inlineStr">
        <is>
          <t>05</t>
        </is>
      </c>
      <c r="B35" s="6" t="inlineStr">
        <is>
          <t>FF&amp;E</t>
        </is>
      </c>
      <c r="C35" s="7" t="inlineStr">
        <is>
          <t>Fabrics</t>
        </is>
      </c>
      <c r="D35" s="6" t="inlineStr">
        <is>
          <t>CUR-01</t>
        </is>
      </c>
      <c r="E35" s="7" t="inlineStr">
        <is>
          <t>Blackout Curtains Aznar FR Twin Face Blackout 063</t>
        </is>
      </c>
      <c r="F35" s="7" t="inlineStr">
        <is>
          <t>Bedroom</t>
        </is>
      </c>
      <c r="G35" s="6" t="inlineStr">
        <is>
          <t>Aznar Textile</t>
        </is>
      </c>
      <c r="H35" s="6" t="inlineStr">
        <is>
          <t>FR Twin Face Blackout 063</t>
        </is>
      </c>
      <c r="I35" s="6" t="n"/>
      <c r="J35" s="6" t="n"/>
      <c r="K35" s="6" t="n"/>
      <c r="L35" s="6" t="inlineStr">
        <is>
          <t>unknown</t>
        </is>
      </c>
      <c r="M35" s="7" t="n"/>
    </row>
    <row r="36">
      <c r="A36" s="2" t="inlineStr">
        <is>
          <t>05</t>
        </is>
      </c>
      <c r="B36" s="2" t="inlineStr">
        <is>
          <t>FF&amp;E</t>
        </is>
      </c>
      <c r="C36" s="3" t="inlineStr">
        <is>
          <t>Fabrics</t>
        </is>
      </c>
      <c r="D36" s="2" t="inlineStr">
        <is>
          <t>UPH-01</t>
        </is>
      </c>
      <c r="E36" s="3" t="inlineStr">
        <is>
          <t>Outdoor Fabric Bikaina YP25004 Ausarta Collection</t>
        </is>
      </c>
      <c r="F36" s="3" t="inlineStr">
        <is>
          <t>Bedroom</t>
        </is>
      </c>
      <c r="G36" s="2" t="inlineStr">
        <is>
          <t>Designs of the Time</t>
        </is>
      </c>
      <c r="H36" s="2" t="inlineStr">
        <is>
          <t>Bikaina YP25004 Ausarta Collection</t>
        </is>
      </c>
      <c r="I36" s="2" t="n"/>
      <c r="J36" s="2" t="n"/>
      <c r="K36" s="2" t="n"/>
      <c r="L36" s="2" t="inlineStr">
        <is>
          <t>unknown</t>
        </is>
      </c>
      <c r="M36" s="3" t="n"/>
    </row>
    <row r="37">
      <c r="A37" s="6" t="inlineStr">
        <is>
          <t>05</t>
        </is>
      </c>
      <c r="B37" s="6" t="inlineStr">
        <is>
          <t>FF&amp;E</t>
        </is>
      </c>
      <c r="C37" s="7" t="inlineStr">
        <is>
          <t>Fabrics</t>
        </is>
      </c>
      <c r="D37" s="6" t="inlineStr">
        <is>
          <t>UPH-02</t>
        </is>
      </c>
      <c r="E37" s="7" t="inlineStr">
        <is>
          <t>Outdoor Fabric TULUM col. 12</t>
        </is>
      </c>
      <c r="F37" s="7" t="inlineStr">
        <is>
          <t>Bedroom</t>
        </is>
      </c>
      <c r="G37" s="6" t="inlineStr">
        <is>
          <t>Guell la madrid</t>
        </is>
      </c>
      <c r="H37" s="6" t="inlineStr">
        <is>
          <t>TULUM col. 12</t>
        </is>
      </c>
      <c r="I37" s="6" t="n"/>
      <c r="J37" s="6" t="n"/>
      <c r="K37" s="6" t="n"/>
      <c r="L37" s="6" t="inlineStr">
        <is>
          <t>unknown</t>
        </is>
      </c>
      <c r="M37" s="7" t="n"/>
    </row>
    <row r="38">
      <c r="A38" s="2" t="inlineStr">
        <is>
          <t>05</t>
        </is>
      </c>
      <c r="B38" s="2" t="inlineStr">
        <is>
          <t>FF&amp;E</t>
        </is>
      </c>
      <c r="C38" s="3" t="inlineStr">
        <is>
          <t>Fabrics</t>
        </is>
      </c>
      <c r="D38" s="2" t="inlineStr">
        <is>
          <t>CUR-02</t>
        </is>
      </c>
      <c r="E38" s="3" t="inlineStr">
        <is>
          <t>Stripe Sheer plum</t>
        </is>
      </c>
      <c r="F38" s="3" t="inlineStr">
        <is>
          <t>Bedroom</t>
        </is>
      </c>
      <c r="G38" s="2" t="inlineStr">
        <is>
          <t>HOLLAND AND SHERRY</t>
        </is>
      </c>
      <c r="H38" s="2" t="inlineStr">
        <is>
          <t>75360 Osian Collection 97501/CB</t>
        </is>
      </c>
      <c r="I38" s="2" t="n"/>
      <c r="J38" s="2" t="n"/>
      <c r="K38" s="2" t="n"/>
      <c r="L38" s="2" t="inlineStr">
        <is>
          <t>unknown</t>
        </is>
      </c>
      <c r="M38" s="3" t="n"/>
    </row>
    <row r="39">
      <c r="A39" s="6" t="inlineStr">
        <is>
          <t>05</t>
        </is>
      </c>
      <c r="B39" s="6" t="inlineStr">
        <is>
          <t>FF&amp;E</t>
        </is>
      </c>
      <c r="C39" s="7" t="inlineStr">
        <is>
          <t>Fabrics</t>
        </is>
      </c>
      <c r="D39" s="6" t="inlineStr">
        <is>
          <t>UPH-03</t>
        </is>
      </c>
      <c r="E39" s="7" t="inlineStr">
        <is>
          <t>In-Outdoor Fabric Tan Tan 60482 Col. 13093</t>
        </is>
      </c>
      <c r="F39" s="7" t="inlineStr">
        <is>
          <t>Bedroom</t>
        </is>
      </c>
      <c r="G39" s="6" t="inlineStr">
        <is>
          <t>Maria Flora</t>
        </is>
      </c>
      <c r="H39" s="6" t="inlineStr">
        <is>
          <t>Tan Tan 60482 Col. 13093</t>
        </is>
      </c>
      <c r="I39" s="6" t="n"/>
      <c r="J39" s="6" t="n"/>
      <c r="K39" s="6" t="n"/>
      <c r="L39" s="6" t="inlineStr">
        <is>
          <t>unknown</t>
        </is>
      </c>
      <c r="M39" s="7" t="n"/>
    </row>
    <row r="40">
      <c r="A40" s="2" t="inlineStr">
        <is>
          <t>05</t>
        </is>
      </c>
      <c r="B40" s="2" t="inlineStr">
        <is>
          <t>FF&amp;E</t>
        </is>
      </c>
      <c r="C40" s="3" t="inlineStr">
        <is>
          <t>Fabrics</t>
        </is>
      </c>
      <c r="D40" s="2" t="inlineStr">
        <is>
          <t>UPH-04</t>
        </is>
      </c>
      <c r="E40" s="3" t="inlineStr">
        <is>
          <t>In-Outdoor Fabric Crisalide 60724 Col. 131</t>
        </is>
      </c>
      <c r="F40" s="3" t="inlineStr">
        <is>
          <t>Outdoor Living / Outdoor terrace (uncovered)</t>
        </is>
      </c>
      <c r="G40" s="2" t="inlineStr">
        <is>
          <t>Maria Flora</t>
        </is>
      </c>
      <c r="H40" s="2" t="inlineStr">
        <is>
          <t>Crisalide 60724 Col. 131</t>
        </is>
      </c>
      <c r="I40" s="2" t="n"/>
      <c r="J40" s="2" t="n"/>
      <c r="K40" s="2" t="n"/>
      <c r="L40" s="2" t="inlineStr">
        <is>
          <t>unknown</t>
        </is>
      </c>
      <c r="M40" s="3" t="n"/>
    </row>
    <row r="41">
      <c r="A41" s="6" t="inlineStr">
        <is>
          <t>05</t>
        </is>
      </c>
      <c r="B41" s="6" t="inlineStr">
        <is>
          <t>FF&amp;E</t>
        </is>
      </c>
      <c r="C41" s="7" t="inlineStr">
        <is>
          <t>Fabrics</t>
        </is>
      </c>
      <c r="D41" s="6" t="inlineStr">
        <is>
          <t>UPH-05</t>
        </is>
      </c>
      <c r="E41" s="7" t="inlineStr">
        <is>
          <t>In-Outdoor Fabric Zagora</t>
        </is>
      </c>
      <c r="F41" s="7" t="inlineStr">
        <is>
          <t>Exterior terrace</t>
        </is>
      </c>
      <c r="G41" s="6" t="inlineStr">
        <is>
          <t>Maria Flora</t>
        </is>
      </c>
      <c r="H41" s="6" t="inlineStr">
        <is>
          <t>Zagora 60749 Col. 13093</t>
        </is>
      </c>
      <c r="I41" s="6" t="n"/>
      <c r="J41" s="6" t="n"/>
      <c r="K41" s="6" t="n"/>
      <c r="L41" s="6" t="inlineStr">
        <is>
          <t>unknown</t>
        </is>
      </c>
      <c r="M41" s="7" t="n"/>
    </row>
    <row r="42">
      <c r="A42" s="2" t="inlineStr">
        <is>
          <t>05</t>
        </is>
      </c>
      <c r="B42" s="2" t="inlineStr">
        <is>
          <t>FF&amp;E</t>
        </is>
      </c>
      <c r="C42" s="3" t="inlineStr">
        <is>
          <t>Fabrics</t>
        </is>
      </c>
      <c r="D42" s="2" t="inlineStr">
        <is>
          <t>UPH-06</t>
        </is>
      </c>
      <c r="E42" s="3" t="inlineStr">
        <is>
          <t>Outdoor Fabric ACERO 60002</t>
        </is>
      </c>
      <c r="F42" s="3" t="inlineStr">
        <is>
          <t>Outdoor / daybeds</t>
        </is>
      </c>
      <c r="G42" s="2" t="inlineStr">
        <is>
          <t>Maria Flora</t>
        </is>
      </c>
      <c r="H42" s="2" t="inlineStr">
        <is>
          <t>ACERO 60002 COL. 15102</t>
        </is>
      </c>
      <c r="I42" s="2" t="n"/>
      <c r="J42" s="2" t="n"/>
      <c r="K42" s="2" t="n"/>
      <c r="L42" s="2" t="inlineStr">
        <is>
          <t>unknown</t>
        </is>
      </c>
      <c r="M42" s="3" t="n"/>
    </row>
    <row r="43">
      <c r="A43" s="6" t="inlineStr">
        <is>
          <t>05</t>
        </is>
      </c>
      <c r="B43" s="6" t="inlineStr">
        <is>
          <t>FF&amp;E</t>
        </is>
      </c>
      <c r="C43" s="7" t="inlineStr">
        <is>
          <t>Fabrics</t>
        </is>
      </c>
      <c r="D43" s="6" t="inlineStr">
        <is>
          <t>UPH-07</t>
        </is>
      </c>
      <c r="E43" s="7" t="inlineStr">
        <is>
          <t>In-Outdoor Fabric Camaleonte 60725 Col. 70</t>
        </is>
      </c>
      <c r="F43" s="7" t="inlineStr">
        <is>
          <t>Outdoor Living / Outdoor terrace (uncovered)</t>
        </is>
      </c>
      <c r="G43" s="6" t="inlineStr">
        <is>
          <t>Maria Flora</t>
        </is>
      </c>
      <c r="H43" s="6" t="inlineStr">
        <is>
          <t>Camaleonte 60725 Col. 70</t>
        </is>
      </c>
      <c r="I43" s="6" t="n"/>
      <c r="J43" s="6" t="n"/>
      <c r="K43" s="6" t="n"/>
      <c r="L43" s="6" t="inlineStr">
        <is>
          <t>unknown</t>
        </is>
      </c>
      <c r="M43" s="7" t="n"/>
    </row>
    <row r="44">
      <c r="A44" s="2" t="inlineStr">
        <is>
          <t>05</t>
        </is>
      </c>
      <c r="B44" s="2" t="inlineStr">
        <is>
          <t>FF&amp;E</t>
        </is>
      </c>
      <c r="C44" s="3" t="inlineStr">
        <is>
          <t>Fabrics</t>
        </is>
      </c>
      <c r="D44" s="2" t="inlineStr">
        <is>
          <t>UPH-08</t>
        </is>
      </c>
      <c r="E44" s="3" t="inlineStr">
        <is>
          <t>In-Outdoor Fabric Rugged Stripe Driftwood</t>
        </is>
      </c>
      <c r="F44" s="3" t="inlineStr">
        <is>
          <t>Outdoor terrace / Daybeds</t>
        </is>
      </c>
      <c r="G44" s="2" t="inlineStr">
        <is>
          <t>Perennials</t>
        </is>
      </c>
      <c r="H44" s="2" t="inlineStr">
        <is>
          <t>Rugged Stripe 895-101 Color:Driftwood</t>
        </is>
      </c>
      <c r="I44" s="2" t="n"/>
      <c r="J44" s="2" t="n"/>
      <c r="K44" s="2" t="n"/>
      <c r="L44" s="2" t="inlineStr">
        <is>
          <t>unknown</t>
        </is>
      </c>
      <c r="M44" s="3" t="n"/>
    </row>
    <row r="45">
      <c r="A45" s="6" t="inlineStr">
        <is>
          <t>05</t>
        </is>
      </c>
      <c r="B45" s="6" t="inlineStr">
        <is>
          <t>FF&amp;E</t>
        </is>
      </c>
      <c r="C45" s="7" t="inlineStr">
        <is>
          <t>Fabrics</t>
        </is>
      </c>
      <c r="D45" s="6" t="inlineStr">
        <is>
          <t>UPH-09</t>
        </is>
      </c>
      <c r="E45" s="7" t="inlineStr">
        <is>
          <t>In-Outdoor Fabric Flanders Dirty Martini</t>
        </is>
      </c>
      <c r="F45" s="7" t="inlineStr">
        <is>
          <t>Outdoor terrace / Daybeds</t>
        </is>
      </c>
      <c r="G45" s="6" t="inlineStr">
        <is>
          <t>Perennials</t>
        </is>
      </c>
      <c r="H45" s="6" t="inlineStr">
        <is>
          <t>Flanders 941-364 Color:Dirty Martini</t>
        </is>
      </c>
      <c r="I45" s="6" t="n"/>
      <c r="J45" s="6" t="n"/>
      <c r="K45" s="6" t="n"/>
      <c r="L45" s="6" t="inlineStr">
        <is>
          <t>unknown</t>
        </is>
      </c>
      <c r="M45" s="7" t="n"/>
    </row>
    <row r="46">
      <c r="A46" s="2" t="inlineStr">
        <is>
          <t>05</t>
        </is>
      </c>
      <c r="B46" s="2" t="inlineStr">
        <is>
          <t>FF&amp;E</t>
        </is>
      </c>
      <c r="C46" s="3" t="inlineStr">
        <is>
          <t>Fabrics</t>
        </is>
      </c>
      <c r="D46" s="2" t="inlineStr">
        <is>
          <t>UPH-11</t>
        </is>
      </c>
      <c r="E46" s="3" t="inlineStr">
        <is>
          <t>Outdoor fabric</t>
        </is>
      </c>
      <c r="F46" s="3" t="inlineStr">
        <is>
          <t>Cushions Tribu KOS chair</t>
        </is>
      </c>
      <c r="G46" s="2" t="inlineStr">
        <is>
          <t>TRIBU</t>
        </is>
      </c>
      <c r="H46" s="2" t="inlineStr">
        <is>
          <t>E-81</t>
        </is>
      </c>
      <c r="I46" s="2" t="n"/>
      <c r="J46" s="2" t="n"/>
      <c r="K46" s="2" t="n"/>
      <c r="L46" s="2" t="inlineStr">
        <is>
          <t>unknown</t>
        </is>
      </c>
      <c r="M46" s="3" t="n"/>
    </row>
    <row r="47">
      <c r="A47" s="6" t="inlineStr">
        <is>
          <t>05</t>
        </is>
      </c>
      <c r="B47" s="6" t="inlineStr">
        <is>
          <t>FF&amp;E</t>
        </is>
      </c>
      <c r="C47" s="7" t="inlineStr">
        <is>
          <t>Fixtures</t>
        </is>
      </c>
      <c r="D47" s="6" t="inlineStr">
        <is>
          <t>FIX-02</t>
        </is>
      </c>
      <c r="E47" s="7" t="inlineStr">
        <is>
          <t>Deck valve clockwise closing cold</t>
        </is>
      </c>
      <c r="F47" s="7" t="inlineStr">
        <is>
          <t>Indoor Shower</t>
        </is>
      </c>
      <c r="G47" s="6" t="inlineStr">
        <is>
          <t>Dorn Bracht</t>
        </is>
      </c>
      <c r="H47" s="6" t="inlineStr">
        <is>
          <t>Deck Valve 20 000 740-46</t>
        </is>
      </c>
      <c r="I47" s="8" t="n">
        <v>1</v>
      </c>
      <c r="J47" s="6" t="n"/>
      <c r="K47" s="6" t="n"/>
      <c r="L47" s="6" t="inlineStr">
        <is>
          <t>unknown</t>
        </is>
      </c>
      <c r="M47" s="7" t="n"/>
    </row>
    <row r="48">
      <c r="A48" s="2" t="inlineStr">
        <is>
          <t>05</t>
        </is>
      </c>
      <c r="B48" s="2" t="inlineStr">
        <is>
          <t>FF&amp;E</t>
        </is>
      </c>
      <c r="C48" s="3" t="inlineStr">
        <is>
          <t>Fixtures</t>
        </is>
      </c>
      <c r="D48" s="2" t="inlineStr">
        <is>
          <t>FIX-03</t>
        </is>
      </c>
      <c r="E48" s="3" t="inlineStr">
        <is>
          <t>Hand shower set with integrated shower holder FlowReduce</t>
        </is>
      </c>
      <c r="F48" s="3" t="inlineStr">
        <is>
          <t>Rinse Shower &amp; Indoor Shower</t>
        </is>
      </c>
      <c r="G48" s="2" t="inlineStr">
        <is>
          <t>Dorn Bracht</t>
        </is>
      </c>
      <c r="H48" s="2" t="inlineStr">
        <is>
          <t>Hand shower 27 812 660-42 0010</t>
        </is>
      </c>
      <c r="I48" s="4" t="n">
        <v>2</v>
      </c>
      <c r="J48" s="2" t="n"/>
      <c r="K48" s="2" t="n"/>
      <c r="L48" s="2" t="inlineStr">
        <is>
          <t>unknown</t>
        </is>
      </c>
      <c r="M48" s="3" t="n"/>
    </row>
    <row r="49">
      <c r="A49" s="6" t="inlineStr">
        <is>
          <t>05</t>
        </is>
      </c>
      <c r="B49" s="6" t="inlineStr">
        <is>
          <t>FF&amp;E</t>
        </is>
      </c>
      <c r="C49" s="7" t="inlineStr">
        <is>
          <t>Fixtures</t>
        </is>
      </c>
      <c r="D49" s="6" t="inlineStr">
        <is>
          <t>FIX-04</t>
        </is>
      </c>
      <c r="E49" s="7" t="inlineStr">
        <is>
          <t>Rain shower with ceiling fixing FlowReduce 400 mm - Brushed Bronze</t>
        </is>
      </c>
      <c r="F49" s="7" t="inlineStr">
        <is>
          <t>Rinse Shower &amp; Indoor Shower</t>
        </is>
      </c>
      <c r="G49" s="6" t="inlineStr">
        <is>
          <t>Dorn Bracht</t>
        </is>
      </c>
      <c r="H49" s="6" t="inlineStr">
        <is>
          <t>Rain shower 28 698 970-42</t>
        </is>
      </c>
      <c r="I49" s="8" t="n">
        <v>2</v>
      </c>
      <c r="J49" s="6" t="n"/>
      <c r="K49" s="6" t="n"/>
      <c r="L49" s="6" t="inlineStr">
        <is>
          <t>unknown</t>
        </is>
      </c>
      <c r="M49" s="7" t="n"/>
    </row>
    <row r="50">
      <c r="A50" s="2" t="inlineStr">
        <is>
          <t>05</t>
        </is>
      </c>
      <c r="B50" s="2" t="inlineStr">
        <is>
          <t>FF&amp;E</t>
        </is>
      </c>
      <c r="C50" s="3" t="inlineStr">
        <is>
          <t>Fixtures</t>
        </is>
      </c>
      <c r="D50" s="2" t="inlineStr">
        <is>
          <t>FIX-05</t>
        </is>
      </c>
      <c r="E50" s="3" t="inlineStr">
        <is>
          <t>META xTOOL Thermostat module with 1 valve</t>
        </is>
      </c>
      <c r="F50" s="3" t="inlineStr">
        <is>
          <t>Rinse Shower &amp; Indoor Shower</t>
        </is>
      </c>
      <c r="G50" s="2" t="inlineStr">
        <is>
          <t>Dorn Bracht</t>
        </is>
      </c>
      <c r="H50" s="2" t="inlineStr">
        <is>
          <t>Thermostat module 36 503 979-42 + 36 607 740-42</t>
        </is>
      </c>
      <c r="I50" s="4" t="n">
        <v>3</v>
      </c>
      <c r="J50" s="2" t="n"/>
      <c r="K50" s="2" t="n"/>
      <c r="L50" s="2" t="inlineStr">
        <is>
          <t>unknown</t>
        </is>
      </c>
      <c r="M50" s="3" t="n"/>
    </row>
    <row r="51">
      <c r="A51" s="6" t="inlineStr">
        <is>
          <t>05</t>
        </is>
      </c>
      <c r="B51" s="6" t="inlineStr">
        <is>
          <t>FF&amp;E</t>
        </is>
      </c>
      <c r="C51" s="7" t="inlineStr">
        <is>
          <t>Fixtures</t>
        </is>
      </c>
      <c r="D51" s="6" t="inlineStr">
        <is>
          <t>FIX-06</t>
        </is>
      </c>
      <c r="E51" s="7" t="inlineStr">
        <is>
          <t>Wall mounted clothing hook</t>
        </is>
      </c>
      <c r="F51" s="7" t="inlineStr">
        <is>
          <t>Bathroom, Walk-in Closet &amp; Rinse Shower</t>
        </is>
      </c>
      <c r="G51" s="6" t="inlineStr">
        <is>
          <t>Dorn Bracht</t>
        </is>
      </c>
      <c r="H51" s="6" t="inlineStr">
        <is>
          <t>Hooks 83 251 220-42</t>
        </is>
      </c>
      <c r="I51" s="8" t="n">
        <v>8</v>
      </c>
      <c r="J51" s="6" t="n"/>
      <c r="K51" s="6" t="n"/>
      <c r="L51" s="6" t="inlineStr">
        <is>
          <t>unknown</t>
        </is>
      </c>
      <c r="M51" s="7" t="n"/>
    </row>
    <row r="52">
      <c r="A52" s="2" t="inlineStr">
        <is>
          <t>05</t>
        </is>
      </c>
      <c r="B52" s="2" t="inlineStr">
        <is>
          <t>FF&amp;E</t>
        </is>
      </c>
      <c r="C52" s="3" t="inlineStr">
        <is>
          <t>Fixtures</t>
        </is>
      </c>
      <c r="D52" s="2" t="inlineStr">
        <is>
          <t>FIX-07</t>
        </is>
      </c>
      <c r="E52" s="3" t="inlineStr">
        <is>
          <t>Tissue holder without cover</t>
        </is>
      </c>
      <c r="F52" s="3" t="inlineStr">
        <is>
          <t>Guests &amp; ADA Restroom</t>
        </is>
      </c>
      <c r="G52" s="2" t="inlineStr">
        <is>
          <t>Dorn Bracht</t>
        </is>
      </c>
      <c r="H52" s="2" t="inlineStr">
        <is>
          <t>Tissue holder 83 500 979-42</t>
        </is>
      </c>
      <c r="I52" s="4" t="n">
        <v>1</v>
      </c>
      <c r="J52" s="2" t="n"/>
      <c r="K52" s="2" t="n"/>
      <c r="L52" s="2" t="inlineStr">
        <is>
          <t>unknown</t>
        </is>
      </c>
      <c r="M52" s="3" t="n"/>
    </row>
    <row r="53">
      <c r="A53" s="6" t="inlineStr">
        <is>
          <t>05</t>
        </is>
      </c>
      <c r="B53" s="6" t="inlineStr">
        <is>
          <t>FF&amp;E</t>
        </is>
      </c>
      <c r="C53" s="7" t="inlineStr">
        <is>
          <t>Furniture</t>
        </is>
      </c>
      <c r="D53" s="6" t="inlineStr">
        <is>
          <t>CUSH-01</t>
        </is>
      </c>
      <c r="E53" s="7" t="inlineStr">
        <is>
          <t>Decorative cushion</t>
        </is>
      </c>
      <c r="F53" s="7" t="n"/>
      <c r="G53" s="6" t="inlineStr">
        <is>
          <t>CUSTOM</t>
        </is>
      </c>
      <c r="H53" s="6" t="inlineStr">
        <is>
          <t>CUSTOM MADE</t>
        </is>
      </c>
      <c r="I53" s="8" t="n">
        <v>2</v>
      </c>
      <c r="J53" s="6" t="n"/>
      <c r="K53" s="6" t="n"/>
      <c r="L53" s="6" t="inlineStr">
        <is>
          <t>unknown</t>
        </is>
      </c>
      <c r="M53" s="7" t="n"/>
    </row>
    <row r="54">
      <c r="A54" s="2" t="inlineStr">
        <is>
          <t>05</t>
        </is>
      </c>
      <c r="B54" s="2" t="inlineStr">
        <is>
          <t>FF&amp;E</t>
        </is>
      </c>
      <c r="C54" s="3" t="inlineStr">
        <is>
          <t>Furniture</t>
        </is>
      </c>
      <c r="D54" s="2" t="inlineStr">
        <is>
          <t>CUSH-02</t>
        </is>
      </c>
      <c r="E54" s="3" t="inlineStr">
        <is>
          <t>Decorative cushion</t>
        </is>
      </c>
      <c r="F54" s="3" t="n"/>
      <c r="G54" s="2" t="inlineStr">
        <is>
          <t>CUSTOM</t>
        </is>
      </c>
      <c r="H54" s="2" t="inlineStr">
        <is>
          <t>SQUARE</t>
        </is>
      </c>
      <c r="I54" s="4" t="n">
        <v>6</v>
      </c>
      <c r="J54" s="2" t="n"/>
      <c r="K54" s="2" t="n"/>
      <c r="L54" s="2" t="inlineStr">
        <is>
          <t>unknown</t>
        </is>
      </c>
      <c r="M54" s="3" t="n"/>
    </row>
    <row r="55">
      <c r="A55" s="6" t="inlineStr">
        <is>
          <t>05</t>
        </is>
      </c>
      <c r="B55" s="6" t="inlineStr">
        <is>
          <t>FF&amp;E</t>
        </is>
      </c>
      <c r="C55" s="7" t="inlineStr">
        <is>
          <t>Furniture</t>
        </is>
      </c>
      <c r="D55" s="6" t="inlineStr">
        <is>
          <t>CUSH-03</t>
        </is>
      </c>
      <c r="E55" s="7" t="inlineStr">
        <is>
          <t>Decorative cushion</t>
        </is>
      </c>
      <c r="F55" s="7" t="n"/>
      <c r="G55" s="6" t="inlineStr">
        <is>
          <t>CUSTOM</t>
        </is>
      </c>
      <c r="H55" s="6" t="inlineStr">
        <is>
          <t>RECTANGULAR</t>
        </is>
      </c>
      <c r="I55" s="8" t="n">
        <v>2</v>
      </c>
      <c r="J55" s="6" t="n"/>
      <c r="K55" s="6" t="n"/>
      <c r="L55" s="6" t="inlineStr">
        <is>
          <t>unknown</t>
        </is>
      </c>
      <c r="M55" s="7" t="n"/>
    </row>
    <row r="56">
      <c r="A56" s="2" t="inlineStr">
        <is>
          <t>05</t>
        </is>
      </c>
      <c r="B56" s="2" t="inlineStr">
        <is>
          <t>FF&amp;E</t>
        </is>
      </c>
      <c r="C56" s="3" t="inlineStr">
        <is>
          <t>Furniture</t>
        </is>
      </c>
      <c r="D56" s="2" t="inlineStr">
        <is>
          <t>CUSH-04</t>
        </is>
      </c>
      <c r="E56" s="3" t="inlineStr">
        <is>
          <t>Decorative cushion</t>
        </is>
      </c>
      <c r="F56" s="3" t="n"/>
      <c r="G56" s="2" t="inlineStr">
        <is>
          <t>CUSTOM</t>
        </is>
      </c>
      <c r="H56" s="2" t="inlineStr">
        <is>
          <t>SQUARE</t>
        </is>
      </c>
      <c r="I56" s="4" t="n">
        <v>2</v>
      </c>
      <c r="J56" s="2" t="n"/>
      <c r="K56" s="2" t="n"/>
      <c r="L56" s="2" t="inlineStr">
        <is>
          <t>unknown</t>
        </is>
      </c>
      <c r="M56" s="3" t="n"/>
    </row>
    <row r="57">
      <c r="A57" s="6" t="inlineStr">
        <is>
          <t>05</t>
        </is>
      </c>
      <c r="B57" s="6" t="inlineStr">
        <is>
          <t>FF&amp;E</t>
        </is>
      </c>
      <c r="C57" s="7" t="inlineStr">
        <is>
          <t>Furniture</t>
        </is>
      </c>
      <c r="D57" s="6" t="inlineStr">
        <is>
          <t>CUSH-05</t>
        </is>
      </c>
      <c r="E57" s="7" t="inlineStr">
        <is>
          <t>Decorative cushion</t>
        </is>
      </c>
      <c r="F57" s="7" t="n"/>
      <c r="G57" s="6" t="inlineStr">
        <is>
          <t>CUSTOM</t>
        </is>
      </c>
      <c r="H57" s="6" t="inlineStr">
        <is>
          <t>RECTANGULAR</t>
        </is>
      </c>
      <c r="I57" s="8" t="n">
        <v>1</v>
      </c>
      <c r="J57" s="6" t="n"/>
      <c r="K57" s="6" t="n"/>
      <c r="L57" s="6" t="inlineStr">
        <is>
          <t>unknown</t>
        </is>
      </c>
      <c r="M57" s="7" t="n"/>
    </row>
    <row r="58">
      <c r="A58" s="2" t="inlineStr">
        <is>
          <t>05</t>
        </is>
      </c>
      <c r="B58" s="2" t="inlineStr">
        <is>
          <t>FF&amp;E</t>
        </is>
      </c>
      <c r="C58" s="3" t="inlineStr">
        <is>
          <t>Furniture</t>
        </is>
      </c>
      <c r="D58" s="2" t="inlineStr">
        <is>
          <t>CUSH-06</t>
        </is>
      </c>
      <c r="E58" s="3" t="inlineStr">
        <is>
          <t>SEAT CUSHION</t>
        </is>
      </c>
      <c r="F58" s="3" t="n"/>
      <c r="G58" s="2" t="inlineStr">
        <is>
          <t>CUSTOM</t>
        </is>
      </c>
      <c r="H58" s="2" t="inlineStr">
        <is>
          <t>CUSTOM MADE</t>
        </is>
      </c>
      <c r="I58" s="4" t="n">
        <v>1</v>
      </c>
      <c r="J58" s="2" t="n"/>
      <c r="K58" s="2" t="n"/>
      <c r="L58" s="2" t="inlineStr">
        <is>
          <t>unknown</t>
        </is>
      </c>
      <c r="M58" s="3" t="n"/>
    </row>
    <row r="59">
      <c r="A59" s="6" t="inlineStr">
        <is>
          <t>05</t>
        </is>
      </c>
      <c r="B59" s="6" t="inlineStr">
        <is>
          <t>FF&amp;E</t>
        </is>
      </c>
      <c r="C59" s="7" t="inlineStr">
        <is>
          <t>Furniture</t>
        </is>
      </c>
      <c r="D59" s="6" t="inlineStr">
        <is>
          <t>CUSH-07</t>
        </is>
      </c>
      <c r="E59" s="7" t="inlineStr">
        <is>
          <t>Decorative cushion</t>
        </is>
      </c>
      <c r="F59" s="7" t="n"/>
      <c r="G59" s="6" t="inlineStr">
        <is>
          <t>CUSTOM</t>
        </is>
      </c>
      <c r="H59" s="6" t="inlineStr">
        <is>
          <t>CUSTOM MADE</t>
        </is>
      </c>
      <c r="I59" s="8" t="n">
        <v>1</v>
      </c>
      <c r="J59" s="6" t="n"/>
      <c r="K59" s="6" t="n"/>
      <c r="L59" s="6" t="inlineStr">
        <is>
          <t>unknown</t>
        </is>
      </c>
      <c r="M59" s="7" t="n"/>
    </row>
    <row r="60">
      <c r="A60" s="2" t="inlineStr">
        <is>
          <t>05</t>
        </is>
      </c>
      <c r="B60" s="2" t="inlineStr">
        <is>
          <t>FF&amp;E</t>
        </is>
      </c>
      <c r="C60" s="3" t="inlineStr">
        <is>
          <t>Furniture</t>
        </is>
      </c>
      <c r="D60" s="2" t="inlineStr">
        <is>
          <t>CUSH-11</t>
        </is>
      </c>
      <c r="E60" s="3" t="inlineStr">
        <is>
          <t>SEAT CUSHION</t>
        </is>
      </c>
      <c r="F60" s="3" t="n"/>
      <c r="G60" s="2" t="inlineStr">
        <is>
          <t>CUSTOM</t>
        </is>
      </c>
      <c r="H60" s="2" t="inlineStr">
        <is>
          <t>CUSTOM MADE</t>
        </is>
      </c>
      <c r="I60" s="4" t="n">
        <v>1</v>
      </c>
      <c r="J60" s="2" t="n"/>
      <c r="K60" s="2" t="n"/>
      <c r="L60" s="2" t="inlineStr">
        <is>
          <t>unknown</t>
        </is>
      </c>
      <c r="M60" s="3" t="n"/>
    </row>
    <row r="61">
      <c r="A61" s="6" t="inlineStr">
        <is>
          <t>05</t>
        </is>
      </c>
      <c r="B61" s="6" t="inlineStr">
        <is>
          <t>FF&amp;E</t>
        </is>
      </c>
      <c r="C61" s="7" t="inlineStr">
        <is>
          <t>Furniture</t>
        </is>
      </c>
      <c r="D61" s="6" t="inlineStr">
        <is>
          <t>FURN-02</t>
        </is>
      </c>
      <c r="E61" s="7" t="inlineStr">
        <is>
          <t>Dining Chair</t>
        </is>
      </c>
      <c r="F61" s="7" t="inlineStr">
        <is>
          <t>Bedroom / Outdoor Terrace</t>
        </is>
      </c>
      <c r="G61" s="6" t="inlineStr">
        <is>
          <t>BRDR. KRUGER</t>
        </is>
      </c>
      <c r="H61" s="6" t="inlineStr">
        <is>
          <t>ARV chair</t>
        </is>
      </c>
      <c r="I61" s="8" t="n">
        <v>1</v>
      </c>
      <c r="J61" s="6" t="n"/>
      <c r="K61" s="6" t="n"/>
      <c r="L61" s="6" t="inlineStr">
        <is>
          <t>unknown</t>
        </is>
      </c>
      <c r="M61" s="7" t="n"/>
    </row>
    <row r="62">
      <c r="A62" s="2" t="inlineStr">
        <is>
          <t>05</t>
        </is>
      </c>
      <c r="B62" s="2" t="inlineStr">
        <is>
          <t>FF&amp;E</t>
        </is>
      </c>
      <c r="C62" s="3" t="inlineStr">
        <is>
          <t>Furniture</t>
        </is>
      </c>
      <c r="D62" s="2" t="inlineStr">
        <is>
          <t>FURN-04</t>
        </is>
      </c>
      <c r="E62" s="3" t="inlineStr">
        <is>
          <t>"Mesa Recinto" Colección Brutal</t>
        </is>
      </c>
      <c r="F62" s="3" t="inlineStr">
        <is>
          <t>Bedroom (Booth)</t>
        </is>
      </c>
      <c r="G62" s="2" t="inlineStr">
        <is>
          <t>Habitación 116</t>
        </is>
      </c>
      <c r="H62" s="2" t="inlineStr">
        <is>
          <t>Mesa recinto</t>
        </is>
      </c>
      <c r="I62" s="4" t="n">
        <v>1</v>
      </c>
      <c r="J62" s="2" t="n"/>
      <c r="K62" s="2" t="n"/>
      <c r="L62" s="2" t="inlineStr">
        <is>
          <t>unknown</t>
        </is>
      </c>
      <c r="M62" s="3" t="n"/>
    </row>
    <row r="63">
      <c r="A63" s="6" t="inlineStr">
        <is>
          <t>05</t>
        </is>
      </c>
      <c r="B63" s="6" t="inlineStr">
        <is>
          <t>FF&amp;E</t>
        </is>
      </c>
      <c r="C63" s="7" t="inlineStr">
        <is>
          <t>Furniture</t>
        </is>
      </c>
      <c r="D63" s="6" t="inlineStr">
        <is>
          <t>FURN-05</t>
        </is>
      </c>
      <c r="E63" s="7" t="inlineStr">
        <is>
          <t>"Mesa Recinto 90" Colección Brutal</t>
        </is>
      </c>
      <c r="F63" s="7" t="inlineStr">
        <is>
          <t>Outdoor Terrace</t>
        </is>
      </c>
      <c r="G63" s="6" t="inlineStr">
        <is>
          <t>Habitación 116</t>
        </is>
      </c>
      <c r="H63" s="6" t="inlineStr">
        <is>
          <t>Mesa recinto 80</t>
        </is>
      </c>
      <c r="I63" s="8" t="n">
        <v>1</v>
      </c>
      <c r="J63" s="6" t="n"/>
      <c r="K63" s="6" t="n"/>
      <c r="L63" s="6" t="inlineStr">
        <is>
          <t>unknown</t>
        </is>
      </c>
      <c r="M63" s="7" t="n"/>
    </row>
    <row r="64">
      <c r="A64" s="2" t="inlineStr">
        <is>
          <t>05</t>
        </is>
      </c>
      <c r="B64" s="2" t="inlineStr">
        <is>
          <t>FF&amp;E</t>
        </is>
      </c>
      <c r="C64" s="3" t="inlineStr">
        <is>
          <t>Furniture</t>
        </is>
      </c>
      <c r="D64" s="2" t="inlineStr">
        <is>
          <t>FURN-06</t>
        </is>
      </c>
      <c r="E64" s="3" t="inlineStr">
        <is>
          <t>"Tambor" Colección Brutal</t>
        </is>
      </c>
      <c r="F64" s="3" t="inlineStr">
        <is>
          <t>Outdoor Terrace</t>
        </is>
      </c>
      <c r="G64" s="2" t="inlineStr">
        <is>
          <t>Habitación 116</t>
        </is>
      </c>
      <c r="H64" s="2" t="inlineStr">
        <is>
          <t>Tambor brutal</t>
        </is>
      </c>
      <c r="I64" s="4" t="n">
        <v>1</v>
      </c>
      <c r="J64" s="2" t="n"/>
      <c r="K64" s="2" t="n"/>
      <c r="L64" s="2" t="inlineStr">
        <is>
          <t>unknown</t>
        </is>
      </c>
      <c r="M64" s="3" t="n"/>
    </row>
    <row r="65">
      <c r="A65" s="6" t="inlineStr">
        <is>
          <t>05</t>
        </is>
      </c>
      <c r="B65" s="6" t="inlineStr">
        <is>
          <t>FF&amp;E</t>
        </is>
      </c>
      <c r="C65" s="7" t="inlineStr">
        <is>
          <t>Furniture</t>
        </is>
      </c>
      <c r="D65" s="6" t="inlineStr">
        <is>
          <t>FURN-08</t>
        </is>
      </c>
      <c r="E65" s="7" t="inlineStr">
        <is>
          <t>JANU Lounge Chair</t>
        </is>
      </c>
      <c r="F65" s="7" t="inlineStr">
        <is>
          <t>Bedroom</t>
        </is>
      </c>
      <c r="G65" s="6" t="inlineStr">
        <is>
          <t>MCE</t>
        </is>
      </c>
      <c r="H65" s="6" t="inlineStr">
        <is>
          <t>Custom made</t>
        </is>
      </c>
      <c r="I65" s="8" t="n">
        <v>1</v>
      </c>
      <c r="J65" s="6" t="n"/>
      <c r="K65" s="6" t="n"/>
      <c r="L65" s="6" t="inlineStr">
        <is>
          <t>unknown</t>
        </is>
      </c>
      <c r="M65" s="7" t="n"/>
    </row>
    <row r="66">
      <c r="A66" s="2" t="inlineStr">
        <is>
          <t>05</t>
        </is>
      </c>
      <c r="B66" s="2" t="inlineStr">
        <is>
          <t>FF&amp;E</t>
        </is>
      </c>
      <c r="C66" s="3" t="inlineStr">
        <is>
          <t>Furniture</t>
        </is>
      </c>
      <c r="D66" s="2" t="inlineStr">
        <is>
          <t>FURN-09</t>
        </is>
      </c>
      <c r="E66" s="3" t="inlineStr">
        <is>
          <t>JANU Nightstand</t>
        </is>
      </c>
      <c r="F66" s="3" t="inlineStr">
        <is>
          <t>Bedroom</t>
        </is>
      </c>
      <c r="G66" s="2" t="inlineStr">
        <is>
          <t>MCE</t>
        </is>
      </c>
      <c r="H66" s="2" t="inlineStr">
        <is>
          <t>Custom made</t>
        </is>
      </c>
      <c r="I66" s="4" t="n">
        <v>1</v>
      </c>
      <c r="J66" s="2" t="n"/>
      <c r="K66" s="2" t="n"/>
      <c r="L66" s="2" t="inlineStr">
        <is>
          <t>unknown</t>
        </is>
      </c>
      <c r="M66" s="3" t="inlineStr">
        <is>
          <t>Possible overlap with 06 Millwork › Nightstands — verify</t>
        </is>
      </c>
    </row>
    <row r="67">
      <c r="A67" s="6" t="inlineStr">
        <is>
          <t>05</t>
        </is>
      </c>
      <c r="B67" s="6" t="inlineStr">
        <is>
          <t>FF&amp;E</t>
        </is>
      </c>
      <c r="C67" s="7" t="inlineStr">
        <is>
          <t>Furniture</t>
        </is>
      </c>
      <c r="D67" s="6" t="inlineStr">
        <is>
          <t>FURN-10</t>
        </is>
      </c>
      <c r="E67" s="7" t="inlineStr">
        <is>
          <t>Tray</t>
        </is>
      </c>
      <c r="F67" s="7" t="inlineStr">
        <is>
          <t>Outdoor Bench / Outdoor Living</t>
        </is>
      </c>
      <c r="G67" s="6" t="inlineStr">
        <is>
          <t>MCE</t>
        </is>
      </c>
      <c r="H67" s="6" t="inlineStr">
        <is>
          <t>Custom made</t>
        </is>
      </c>
      <c r="I67" s="8" t="n">
        <v>2</v>
      </c>
      <c r="J67" s="6" t="n"/>
      <c r="K67" s="6" t="n"/>
      <c r="L67" s="6" t="inlineStr">
        <is>
          <t>unknown</t>
        </is>
      </c>
      <c r="M67" s="7" t="n"/>
    </row>
    <row r="68">
      <c r="A68" s="2" t="inlineStr">
        <is>
          <t>05</t>
        </is>
      </c>
      <c r="B68" s="2" t="inlineStr">
        <is>
          <t>FF&amp;E</t>
        </is>
      </c>
      <c r="C68" s="3" t="inlineStr">
        <is>
          <t>Furniture</t>
        </is>
      </c>
      <c r="D68" s="2" t="inlineStr">
        <is>
          <t>FURN-07</t>
        </is>
      </c>
      <c r="E68" s="3" t="inlineStr">
        <is>
          <t>JANU Lounge Chair</t>
        </is>
      </c>
      <c r="F68" s="3" t="inlineStr">
        <is>
          <t>Outdoor shower</t>
        </is>
      </c>
      <c r="G68" s="2" t="inlineStr">
        <is>
          <t>POLIFORM</t>
        </is>
      </c>
      <c r="H68" s="2" t="inlineStr">
        <is>
          <t>DAMA</t>
        </is>
      </c>
      <c r="I68" s="4" t="n">
        <v>1</v>
      </c>
      <c r="J68" s="2" t="n"/>
      <c r="K68" s="2" t="n"/>
      <c r="L68" s="2" t="inlineStr">
        <is>
          <t>unknown</t>
        </is>
      </c>
      <c r="M68" s="3" t="n"/>
    </row>
    <row r="69">
      <c r="A69" s="6" t="inlineStr">
        <is>
          <t>06</t>
        </is>
      </c>
      <c r="B69" s="6" t="inlineStr">
        <is>
          <t>Millwork &amp; Joinery</t>
        </is>
      </c>
      <c r="C69" s="7" t="inlineStr">
        <is>
          <t>Artwork, Booth &amp; Nightstands</t>
        </is>
      </c>
      <c r="D69" s="6" t="inlineStr">
        <is>
          <t>1</t>
        </is>
      </c>
      <c r="E69" s="7" t="inlineStr">
        <is>
          <t>Artwork surround</t>
        </is>
      </c>
      <c r="F69" s="7" t="inlineStr">
        <is>
          <t>Bedroom</t>
        </is>
      </c>
      <c r="G69" s="6" t="inlineStr">
        <is>
          <t>CBM Millwork</t>
        </is>
      </c>
      <c r="H69" s="6" t="n"/>
      <c r="I69" s="8" t="n">
        <v>1</v>
      </c>
      <c r="J69" s="6" t="inlineStr">
        <is>
          <t>assy</t>
        </is>
      </c>
      <c r="K69" s="6" t="inlineStr">
        <is>
          <t>A11-09</t>
        </is>
      </c>
      <c r="L69" s="6" t="inlineStr">
        <is>
          <t>in_progress</t>
        </is>
      </c>
      <c r="M69" s="7" t="n"/>
    </row>
    <row r="70">
      <c r="A70" s="2" t="inlineStr">
        <is>
          <t>06</t>
        </is>
      </c>
      <c r="B70" s="2" t="inlineStr">
        <is>
          <t>Millwork &amp; Joinery</t>
        </is>
      </c>
      <c r="C70" s="3" t="inlineStr">
        <is>
          <t>Artwork, Booth &amp; Nightstands</t>
        </is>
      </c>
      <c r="D70" s="2" t="inlineStr">
        <is>
          <t>2</t>
        </is>
      </c>
      <c r="E70" s="3" t="inlineStr">
        <is>
          <t>Booth / banquette joinery</t>
        </is>
      </c>
      <c r="F70" s="3" t="n"/>
      <c r="G70" s="2" t="inlineStr">
        <is>
          <t>CBM Millwork</t>
        </is>
      </c>
      <c r="H70" s="2" t="n"/>
      <c r="I70" s="4" t="n">
        <v>1</v>
      </c>
      <c r="J70" s="2" t="inlineStr">
        <is>
          <t>assy</t>
        </is>
      </c>
      <c r="K70" s="2" t="inlineStr">
        <is>
          <t>A11-10</t>
        </is>
      </c>
      <c r="L70" s="2" t="inlineStr">
        <is>
          <t>in_progress</t>
        </is>
      </c>
      <c r="M70" s="3" t="n"/>
    </row>
    <row r="71">
      <c r="A71" s="6" t="inlineStr">
        <is>
          <t>06</t>
        </is>
      </c>
      <c r="B71" s="6" t="inlineStr">
        <is>
          <t>Millwork &amp; Joinery</t>
        </is>
      </c>
      <c r="C71" s="7" t="inlineStr">
        <is>
          <t>Artwork, Booth &amp; Nightstands</t>
        </is>
      </c>
      <c r="D71" s="6" t="inlineStr">
        <is>
          <t>3</t>
        </is>
      </c>
      <c r="E71" s="7" t="inlineStr">
        <is>
          <t>Nightstands (left &amp; right)</t>
        </is>
      </c>
      <c r="F71" s="7" t="inlineStr">
        <is>
          <t>Bedroom</t>
        </is>
      </c>
      <c r="G71" s="6" t="inlineStr">
        <is>
          <t>CBM Millwork</t>
        </is>
      </c>
      <c r="H71" s="6" t="n"/>
      <c r="I71" s="8" t="n">
        <v>2</v>
      </c>
      <c r="J71" s="6" t="inlineStr">
        <is>
          <t>pc</t>
        </is>
      </c>
      <c r="K71" s="6" t="inlineStr">
        <is>
          <t>A2-01</t>
        </is>
      </c>
      <c r="L71" s="6" t="inlineStr">
        <is>
          <t>in_progress</t>
        </is>
      </c>
      <c r="M71" s="7" t="inlineStr">
        <is>
          <t>Mocca Cafe tops via Stonework</t>
        </is>
      </c>
    </row>
    <row r="72">
      <c r="A72" s="2" t="inlineStr">
        <is>
          <t>06</t>
        </is>
      </c>
      <c r="B72" s="2" t="inlineStr">
        <is>
          <t>Millwork &amp; Joinery</t>
        </is>
      </c>
      <c r="C72" s="3" t="inlineStr">
        <is>
          <t>Bed</t>
        </is>
      </c>
      <c r="D72" s="2" t="inlineStr">
        <is>
          <t>1</t>
        </is>
      </c>
      <c r="E72" s="3" t="inlineStr">
        <is>
          <t>Bed base / platform joinery</t>
        </is>
      </c>
      <c r="F72" s="3" t="inlineStr">
        <is>
          <t>Bedroom</t>
        </is>
      </c>
      <c r="G72" s="2" t="inlineStr">
        <is>
          <t>CBM Millwork</t>
        </is>
      </c>
      <c r="H72" s="2" t="n"/>
      <c r="I72" s="4" t="n">
        <v>1</v>
      </c>
      <c r="J72" s="2" t="inlineStr">
        <is>
          <t>assy</t>
        </is>
      </c>
      <c r="K72" s="2" t="inlineStr">
        <is>
          <t>A11-08</t>
        </is>
      </c>
      <c r="L72" s="2" t="inlineStr">
        <is>
          <t>in_progress</t>
        </is>
      </c>
      <c r="M72" s="3" t="n"/>
    </row>
    <row r="73">
      <c r="A73" s="6" t="inlineStr">
        <is>
          <t>06</t>
        </is>
      </c>
      <c r="B73" s="6" t="inlineStr">
        <is>
          <t>Millwork &amp; Joinery</t>
        </is>
      </c>
      <c r="C73" s="7" t="inlineStr">
        <is>
          <t>Cabinet Hardware</t>
        </is>
      </c>
      <c r="D73" s="6" t="inlineStr">
        <is>
          <t>1</t>
        </is>
      </c>
      <c r="E73" s="7" t="inlineStr">
        <is>
          <t>Drawer / rail runner</t>
        </is>
      </c>
      <c r="F73" s="7" t="inlineStr">
        <is>
          <t>Vanity &amp; millwork</t>
        </is>
      </c>
      <c r="G73" s="6" t="inlineStr">
        <is>
          <t>Hafele</t>
        </is>
      </c>
      <c r="H73" s="6" t="inlineStr">
        <is>
          <t>MATRIX runner BB A45</t>
        </is>
      </c>
      <c r="I73" s="6" t="n"/>
      <c r="J73" s="6" t="inlineStr">
        <is>
          <t>set</t>
        </is>
      </c>
      <c r="K73" s="6" t="inlineStr">
        <is>
          <t>A9-03</t>
        </is>
      </c>
      <c r="L73" s="6" t="inlineStr">
        <is>
          <t>in_progress</t>
        </is>
      </c>
      <c r="M73" s="7" t="inlineStr">
        <is>
          <t>Named on vanity detail</t>
        </is>
      </c>
    </row>
    <row r="74">
      <c r="A74" s="2" t="inlineStr">
        <is>
          <t>06</t>
        </is>
      </c>
      <c r="B74" s="2" t="inlineStr">
        <is>
          <t>Millwork &amp; Joinery</t>
        </is>
      </c>
      <c r="C74" s="3" t="inlineStr">
        <is>
          <t>Cabinet Hardware</t>
        </is>
      </c>
      <c r="D74" s="2" t="inlineStr">
        <is>
          <t>2</t>
        </is>
      </c>
      <c r="E74" s="3" t="inlineStr">
        <is>
          <t>General cabinet hardware - hinges, slides, pulls, catches, soft-close</t>
        </is>
      </c>
      <c r="F74" s="3" t="inlineStr">
        <is>
          <t>All millwork</t>
        </is>
      </c>
      <c r="G74" s="2" t="n"/>
      <c r="H74" s="2" t="n"/>
      <c r="I74" s="2" t="n"/>
      <c r="J74" s="2" t="inlineStr">
        <is>
          <t>lot</t>
        </is>
      </c>
      <c r="K74" s="2" t="inlineStr">
        <is>
          <t>A11-05..10</t>
        </is>
      </c>
      <c r="L74" s="2" t="inlineStr">
        <is>
          <t>not_started</t>
        </is>
      </c>
      <c r="M74" s="3" t="n"/>
    </row>
    <row r="75">
      <c r="A75" s="6" t="inlineStr">
        <is>
          <t>06</t>
        </is>
      </c>
      <c r="B75" s="6" t="inlineStr">
        <is>
          <t>Millwork &amp; Joinery</t>
        </is>
      </c>
      <c r="C75" s="7" t="inlineStr">
        <is>
          <t>Closet Joinery</t>
        </is>
      </c>
      <c r="D75" s="6" t="inlineStr">
        <is>
          <t>1 | D-03</t>
        </is>
      </c>
      <c r="E75" s="7" t="inlineStr">
        <is>
          <t>Walk-in closet joinery (louvered sliding doors, internal fit-out)</t>
        </is>
      </c>
      <c r="F75" s="7" t="inlineStr">
        <is>
          <t>Closet</t>
        </is>
      </c>
      <c r="G75" s="6" t="inlineStr">
        <is>
          <t>CBM Millwork</t>
        </is>
      </c>
      <c r="H75" s="6" t="n"/>
      <c r="I75" s="8" t="n">
        <v>1</v>
      </c>
      <c r="J75" s="6" t="inlineStr">
        <is>
          <t>assy</t>
        </is>
      </c>
      <c r="K75" s="6" t="inlineStr">
        <is>
          <t>A11-05</t>
        </is>
      </c>
      <c r="L75" s="6" t="inlineStr">
        <is>
          <t>in_progress</t>
        </is>
      </c>
      <c r="M75" s="7" t="inlineStr">
        <is>
          <t>Stone tops via Stonework; door D-03 in Doors tracker</t>
        </is>
      </c>
    </row>
    <row r="76">
      <c r="A76" s="2" t="inlineStr">
        <is>
          <t>06</t>
        </is>
      </c>
      <c r="B76" s="2" t="inlineStr">
        <is>
          <t>Millwork &amp; Joinery</t>
        </is>
      </c>
      <c r="C76" s="3" t="inlineStr">
        <is>
          <t>Headboard</t>
        </is>
      </c>
      <c r="D76" s="2" t="inlineStr">
        <is>
          <t>1</t>
        </is>
      </c>
      <c r="E76" s="3" t="inlineStr">
        <is>
          <t>Headboard millwork</t>
        </is>
      </c>
      <c r="F76" s="3" t="inlineStr">
        <is>
          <t>Bedroom</t>
        </is>
      </c>
      <c r="G76" s="2" t="inlineStr">
        <is>
          <t>CBM Millwork</t>
        </is>
      </c>
      <c r="H76" s="2" t="n"/>
      <c r="I76" s="4" t="n">
        <v>1</v>
      </c>
      <c r="J76" s="2" t="inlineStr">
        <is>
          <t>assy</t>
        </is>
      </c>
      <c r="K76" s="2" t="inlineStr">
        <is>
          <t>A11-07A/B</t>
        </is>
      </c>
      <c r="L76" s="2" t="inlineStr">
        <is>
          <t>in_progress</t>
        </is>
      </c>
      <c r="M76" s="3" t="n"/>
    </row>
    <row r="77">
      <c r="A77" s="6" t="inlineStr">
        <is>
          <t>06</t>
        </is>
      </c>
      <c r="B77" s="6" t="inlineStr">
        <is>
          <t>Millwork &amp; Joinery</t>
        </is>
      </c>
      <c r="C77" s="7" t="inlineStr">
        <is>
          <t>Minibar</t>
        </is>
      </c>
      <c r="D77" s="6" t="inlineStr">
        <is>
          <t>1</t>
        </is>
      </c>
      <c r="E77" s="7" t="inlineStr">
        <is>
          <t>Minibar cabinetry (counter, back splash, integrated services)</t>
        </is>
      </c>
      <c r="F77" s="7" t="inlineStr">
        <is>
          <t>Minibar</t>
        </is>
      </c>
      <c r="G77" s="6" t="inlineStr">
        <is>
          <t>CBM Millwork</t>
        </is>
      </c>
      <c r="H77" s="6" t="n"/>
      <c r="I77" s="8" t="n">
        <v>1</v>
      </c>
      <c r="J77" s="6" t="inlineStr">
        <is>
          <t>assy</t>
        </is>
      </c>
      <c r="K77" s="6" t="inlineStr">
        <is>
          <t>A11-06A/B</t>
        </is>
      </c>
      <c r="L77" s="6" t="inlineStr">
        <is>
          <t>in_progress</t>
        </is>
      </c>
      <c r="M77" s="7" t="inlineStr">
        <is>
          <t>Red Soraya top via Stonework; socket cut-out open item 17</t>
        </is>
      </c>
    </row>
    <row r="78">
      <c r="A78" s="2" t="inlineStr">
        <is>
          <t>08</t>
        </is>
      </c>
      <c r="B78" s="2" t="inlineStr">
        <is>
          <t>Plumbing Equipment</t>
        </is>
      </c>
      <c r="C78" s="3" t="inlineStr">
        <is>
          <t>Domestic Water Piping &amp; Valves</t>
        </is>
      </c>
      <c r="D78" s="2" t="n"/>
      <c r="E78" s="3" t="inlineStr">
        <is>
          <t>Ball Valves</t>
        </is>
      </c>
      <c r="F78" s="3" t="n"/>
      <c r="G78" s="2" t="inlineStr">
        <is>
          <t>Aquaram</t>
        </is>
      </c>
      <c r="H78" s="2" t="n"/>
      <c r="I78" s="2" t="n"/>
      <c r="J78" s="2" t="n"/>
      <c r="K78" s="2" t="n"/>
      <c r="L78" s="2" t="inlineStr">
        <is>
          <t>unknown</t>
        </is>
      </c>
      <c r="M78" s="3" t="n"/>
    </row>
    <row r="79">
      <c r="A79" s="6" t="inlineStr">
        <is>
          <t>08</t>
        </is>
      </c>
      <c r="B79" s="6" t="inlineStr">
        <is>
          <t>Plumbing Equipment</t>
        </is>
      </c>
      <c r="C79" s="7" t="inlineStr">
        <is>
          <t>Domestic Water Piping &amp; Valves</t>
        </is>
      </c>
      <c r="D79" s="6" t="inlineStr">
        <is>
          <t>PVC elbows</t>
        </is>
      </c>
      <c r="E79" s="7" t="inlineStr">
        <is>
          <t>Insulation</t>
        </is>
      </c>
      <c r="F79" s="7" t="n"/>
      <c r="G79" s="6" t="n"/>
      <c r="H79" s="6" t="inlineStr">
        <is>
          <t>Micro-Lok</t>
        </is>
      </c>
      <c r="I79" s="6" t="n"/>
      <c r="J79" s="6" t="n"/>
      <c r="K79" s="6" t="n"/>
      <c r="L79" s="6" t="inlineStr">
        <is>
          <t>unknown</t>
        </is>
      </c>
      <c r="M79" s="7" t="n"/>
    </row>
    <row r="80">
      <c r="A80" s="2" t="inlineStr">
        <is>
          <t>08</t>
        </is>
      </c>
      <c r="B80" s="2" t="inlineStr">
        <is>
          <t>Plumbing Equipment</t>
        </is>
      </c>
      <c r="C80" s="3" t="inlineStr">
        <is>
          <t>Domestic Water Piping &amp; Valves</t>
        </is>
      </c>
      <c r="D80" s="2" t="inlineStr">
        <is>
          <t>PVC elbows</t>
        </is>
      </c>
      <c r="E80" s="3" t="inlineStr">
        <is>
          <t>Cold water service</t>
        </is>
      </c>
      <c r="F80" s="3" t="n"/>
      <c r="G80" s="2" t="n"/>
      <c r="H80" s="2" t="inlineStr">
        <is>
          <t>PVC SCH 40</t>
        </is>
      </c>
      <c r="I80" s="2" t="n"/>
      <c r="J80" s="2" t="n"/>
      <c r="K80" s="2" t="n"/>
      <c r="L80" s="2" t="inlineStr">
        <is>
          <t>unknown</t>
        </is>
      </c>
      <c r="M80" s="3" t="n"/>
    </row>
    <row r="81">
      <c r="A81" s="6" t="inlineStr">
        <is>
          <t>08</t>
        </is>
      </c>
      <c r="B81" s="6" t="inlineStr">
        <is>
          <t>Plumbing Equipment</t>
        </is>
      </c>
      <c r="C81" s="7" t="inlineStr">
        <is>
          <t>Domestic Water Piping &amp; Valves</t>
        </is>
      </c>
      <c r="D81" s="6" t="inlineStr">
        <is>
          <t>PVC elbows</t>
        </is>
      </c>
      <c r="E81" s="7" t="inlineStr">
        <is>
          <t>Cold water distribution</t>
        </is>
      </c>
      <c r="F81" s="7" t="n"/>
      <c r="G81" s="6" t="n"/>
      <c r="H81" s="6" t="inlineStr">
        <is>
          <t>CPVC</t>
        </is>
      </c>
      <c r="I81" s="6" t="n"/>
      <c r="J81" s="6" t="n"/>
      <c r="K81" s="6" t="n"/>
      <c r="L81" s="6" t="inlineStr">
        <is>
          <t>unknown</t>
        </is>
      </c>
      <c r="M81" s="7" t="n"/>
    </row>
    <row r="82">
      <c r="A82" s="2" t="inlineStr">
        <is>
          <t>08</t>
        </is>
      </c>
      <c r="B82" s="2" t="inlineStr">
        <is>
          <t>Plumbing Equipment</t>
        </is>
      </c>
      <c r="C82" s="3" t="inlineStr">
        <is>
          <t>Domestic Water Piping &amp; Valves</t>
        </is>
      </c>
      <c r="D82" s="2" t="inlineStr">
        <is>
          <t>PVC elbows</t>
        </is>
      </c>
      <c r="E82" s="3" t="inlineStr">
        <is>
          <t>Hot water</t>
        </is>
      </c>
      <c r="F82" s="3" t="n"/>
      <c r="G82" s="2" t="n"/>
      <c r="H82" s="2" t="inlineStr">
        <is>
          <t>CPVC</t>
        </is>
      </c>
      <c r="I82" s="2" t="n"/>
      <c r="J82" s="2" t="n"/>
      <c r="K82" s="2" t="n"/>
      <c r="L82" s="2" t="inlineStr">
        <is>
          <t>unknown</t>
        </is>
      </c>
      <c r="M82" s="3" t="n"/>
    </row>
    <row r="83">
      <c r="A83" s="6" t="inlineStr">
        <is>
          <t>09</t>
        </is>
      </c>
      <c r="B83" s="6" t="inlineStr">
        <is>
          <t>Pool &amp; Water Features</t>
        </is>
      </c>
      <c r="C83" s="7" t="inlineStr">
        <is>
          <t>Balancing Tank &amp; Specialties</t>
        </is>
      </c>
      <c r="D83" s="6" t="inlineStr">
        <is>
          <t>3 | F3</t>
        </is>
      </c>
      <c r="E83" s="7" t="inlineStr">
        <is>
          <t>Waterstop couplings (tank penetrations), fiberglass</t>
        </is>
      </c>
      <c r="F83" s="7" t="inlineStr">
        <is>
          <t>Balancing tank</t>
        </is>
      </c>
      <c r="G83" s="6" t="inlineStr">
        <is>
          <t>ASA</t>
        </is>
      </c>
      <c r="H83" s="6" t="inlineStr">
        <is>
          <t>FPK-88-301.5/302/303/304</t>
        </is>
      </c>
      <c r="I83" s="8" t="n">
        <v>5</v>
      </c>
      <c r="J83" s="6" t="inlineStr">
        <is>
          <t>no</t>
        </is>
      </c>
      <c r="K83" s="6" t="inlineStr">
        <is>
          <t>F3</t>
        </is>
      </c>
      <c r="L83" s="6" t="inlineStr">
        <is>
          <t>complete</t>
        </is>
      </c>
      <c r="M83" s="7" t="inlineStr">
        <is>
          <t>CLARIF vs shell PVC sleeve. RFI</t>
        </is>
      </c>
    </row>
    <row r="84">
      <c r="A84" s="2" t="inlineStr">
        <is>
          <t>09</t>
        </is>
      </c>
      <c r="B84" s="2" t="inlineStr">
        <is>
          <t>Pool &amp; Water Features</t>
        </is>
      </c>
      <c r="C84" s="3" t="inlineStr">
        <is>
          <t>Pool Bonding &amp; Electrical</t>
        </is>
      </c>
      <c r="D84" s="2" t="inlineStr">
        <is>
          <t>1 | H1</t>
        </is>
      </c>
      <c r="E84" s="3" t="inlineStr">
        <is>
          <t>Equipotential bonding conductor, #8 AWG solid bare copper</t>
        </is>
      </c>
      <c r="F84" s="3" t="inlineStr">
        <is>
          <t>Pool perimeter</t>
        </is>
      </c>
      <c r="G84" s="2" t="inlineStr">
        <is>
          <t>-</t>
        </is>
      </c>
      <c r="H84" s="2" t="inlineStr">
        <is>
          <t>#8 AWG bare copper</t>
        </is>
      </c>
      <c r="I84" s="2" t="n"/>
      <c r="J84" s="2" t="inlineStr">
        <is>
          <t>run</t>
        </is>
      </c>
      <c r="K84" s="2" t="inlineStr">
        <is>
          <t>H1</t>
        </is>
      </c>
      <c r="L84" s="2" t="inlineStr">
        <is>
          <t>complete</t>
        </is>
      </c>
      <c r="M84" s="3" t="inlineStr">
        <is>
          <t>TBR - length per GP1-E3. NEC 680</t>
        </is>
      </c>
    </row>
    <row r="85">
      <c r="A85" s="6" t="inlineStr">
        <is>
          <t>09</t>
        </is>
      </c>
      <c r="B85" s="6" t="inlineStr">
        <is>
          <t>Pool &amp; Water Features</t>
        </is>
      </c>
      <c r="C85" s="7" t="inlineStr">
        <is>
          <t>Pool Fittings</t>
        </is>
      </c>
      <c r="D85" s="6" t="inlineStr">
        <is>
          <t>4 | B4</t>
        </is>
      </c>
      <c r="E85" s="7" t="inlineStr">
        <is>
          <t>Vacuum fitting, 2 in</t>
        </is>
      </c>
      <c r="F85" s="7" t="inlineStr">
        <is>
          <t>Pool</t>
        </is>
      </c>
      <c r="G85" s="6" t="inlineStr">
        <is>
          <t>Hayward</t>
        </is>
      </c>
      <c r="H85" s="6" t="inlineStr">
        <is>
          <t>W400BLGP LIGHT GRAY</t>
        </is>
      </c>
      <c r="I85" s="8" t="n">
        <v>1</v>
      </c>
      <c r="J85" s="6" t="inlineStr">
        <is>
          <t>no</t>
        </is>
      </c>
      <c r="K85" s="6" t="inlineStr">
        <is>
          <t>B4</t>
        </is>
      </c>
      <c r="L85" s="6" t="inlineStr">
        <is>
          <t>complete</t>
        </is>
      </c>
      <c r="M85" s="7" t="inlineStr">
        <is>
          <t>Status OK</t>
        </is>
      </c>
    </row>
    <row r="86">
      <c r="A86" s="2" t="inlineStr">
        <is>
          <t>09</t>
        </is>
      </c>
      <c r="B86" s="2" t="inlineStr">
        <is>
          <t>Pool &amp; Water Features</t>
        </is>
      </c>
      <c r="C86" s="3" t="inlineStr">
        <is>
          <t>Pool Fittings</t>
        </is>
      </c>
      <c r="D86" s="2" t="inlineStr">
        <is>
          <t>9 | B9</t>
        </is>
      </c>
      <c r="E86" s="3" t="inlineStr">
        <is>
          <t>Waterstop sleeve fittings, PVC (2 in x11 + 1-1/2 in x1)</t>
        </is>
      </c>
      <c r="F86" s="3" t="inlineStr">
        <is>
          <t>Pool shell</t>
        </is>
      </c>
      <c r="G86" s="2" t="inlineStr">
        <is>
          <t>ASA</t>
        </is>
      </c>
      <c r="H86" s="2" t="inlineStr">
        <is>
          <t>PVC Sleeve PVC-40-302 / 301</t>
        </is>
      </c>
      <c r="I86" s="4" t="n">
        <v>12</v>
      </c>
      <c r="J86" s="2" t="inlineStr">
        <is>
          <t>no</t>
        </is>
      </c>
      <c r="K86" s="2" t="inlineStr">
        <is>
          <t>B8</t>
        </is>
      </c>
      <c r="L86" s="2" t="inlineStr">
        <is>
          <t>complete</t>
        </is>
      </c>
      <c r="M86" s="3" t="inlineStr">
        <is>
          <t>CLARIF - drawing 'FPK-40-302' is a typo. RFI</t>
        </is>
      </c>
    </row>
    <row r="87">
      <c r="A87" s="6" t="inlineStr">
        <is>
          <t>10</t>
        </is>
      </c>
      <c r="B87" s="6" t="inlineStr">
        <is>
          <t>Electrical</t>
        </is>
      </c>
      <c r="C87" s="7" t="inlineStr">
        <is>
          <t>Feeders, Cable, Conduit &amp; Ground</t>
        </is>
      </c>
      <c r="D87" s="6" t="inlineStr">
        <is>
          <t>1</t>
        </is>
      </c>
      <c r="E87" s="7" t="inlineStr">
        <is>
          <t>Feeders, branch cabling, conduit, containment, earthing</t>
        </is>
      </c>
      <c r="F87" s="7" t="n"/>
      <c r="G87" s="6" t="n"/>
      <c r="H87" s="6" t="n"/>
      <c r="I87" s="6" t="n"/>
      <c r="J87" s="6" t="inlineStr">
        <is>
          <t>lot</t>
        </is>
      </c>
      <c r="K87" s="6" t="inlineStr">
        <is>
          <t>GP1-E4</t>
        </is>
      </c>
      <c r="L87" s="6" t="inlineStr">
        <is>
          <t>not_started</t>
        </is>
      </c>
      <c r="M87" s="7" t="n"/>
    </row>
    <row r="88">
      <c r="A88" s="2" t="inlineStr">
        <is>
          <t>10</t>
        </is>
      </c>
      <c r="B88" s="2" t="inlineStr">
        <is>
          <t>Electrical</t>
        </is>
      </c>
      <c r="C88" s="3" t="inlineStr">
        <is>
          <t>Feeders, Cable, Conduit &amp; Ground</t>
        </is>
      </c>
      <c r="D88" s="2" t="inlineStr">
        <is>
          <t>Cable</t>
        </is>
      </c>
      <c r="E88" s="3" t="inlineStr">
        <is>
          <t>#2 AWG Cable Black (Copper)</t>
        </is>
      </c>
      <c r="F88" s="3" t="n"/>
      <c r="G88" s="2" t="inlineStr">
        <is>
          <t>N/A</t>
        </is>
      </c>
      <c r="H88" s="2" t="n"/>
      <c r="I88" s="2" t="n"/>
      <c r="J88" s="2" t="inlineStr">
        <is>
          <t>FT</t>
        </is>
      </c>
      <c r="K88" s="2" t="inlineStr">
        <is>
          <t>GP1R-E4</t>
        </is>
      </c>
      <c r="L88" s="2" t="inlineStr">
        <is>
          <t>unknown</t>
        </is>
      </c>
      <c r="M88" s="3" t="n"/>
    </row>
    <row r="89">
      <c r="A89" s="6" t="inlineStr">
        <is>
          <t>10</t>
        </is>
      </c>
      <c r="B89" s="6" t="inlineStr">
        <is>
          <t>Electrical</t>
        </is>
      </c>
      <c r="C89" s="7" t="inlineStr">
        <is>
          <t>Feeders, Cable, Conduit &amp; Ground</t>
        </is>
      </c>
      <c r="D89" s="6" t="inlineStr">
        <is>
          <t>Cable</t>
        </is>
      </c>
      <c r="E89" s="7" t="inlineStr">
        <is>
          <t>#2 AWG Cable Red (Copper)</t>
        </is>
      </c>
      <c r="F89" s="7" t="n"/>
      <c r="G89" s="6" t="inlineStr">
        <is>
          <t>N/A</t>
        </is>
      </c>
      <c r="H89" s="6" t="n"/>
      <c r="I89" s="6" t="n"/>
      <c r="J89" s="6" t="inlineStr">
        <is>
          <t>FT</t>
        </is>
      </c>
      <c r="K89" s="6" t="inlineStr">
        <is>
          <t>GP1R-E4</t>
        </is>
      </c>
      <c r="L89" s="6" t="inlineStr">
        <is>
          <t>unknown</t>
        </is>
      </c>
      <c r="M89" s="7" t="n"/>
    </row>
    <row r="90">
      <c r="A90" s="2" t="inlineStr">
        <is>
          <t>10</t>
        </is>
      </c>
      <c r="B90" s="2" t="inlineStr">
        <is>
          <t>Electrical</t>
        </is>
      </c>
      <c r="C90" s="3" t="inlineStr">
        <is>
          <t>Feeders, Cable, Conduit &amp; Ground</t>
        </is>
      </c>
      <c r="D90" s="2" t="inlineStr">
        <is>
          <t>Cable</t>
        </is>
      </c>
      <c r="E90" s="3" t="inlineStr">
        <is>
          <t>#2 AWG Cable White (Copper)</t>
        </is>
      </c>
      <c r="F90" s="3" t="n"/>
      <c r="G90" s="2" t="inlineStr">
        <is>
          <t>N/A</t>
        </is>
      </c>
      <c r="H90" s="2" t="n"/>
      <c r="I90" s="2" t="n"/>
      <c r="J90" s="2" t="inlineStr">
        <is>
          <t>FT</t>
        </is>
      </c>
      <c r="K90" s="2" t="inlineStr">
        <is>
          <t>GP1R-E4</t>
        </is>
      </c>
      <c r="L90" s="2" t="inlineStr">
        <is>
          <t>unknown</t>
        </is>
      </c>
      <c r="M90" s="3" t="n"/>
    </row>
    <row r="91">
      <c r="A91" s="6" t="inlineStr">
        <is>
          <t>10</t>
        </is>
      </c>
      <c r="B91" s="6" t="inlineStr">
        <is>
          <t>Electrical</t>
        </is>
      </c>
      <c r="C91" s="7" t="inlineStr">
        <is>
          <t>Feeders, Cable, Conduit &amp; Ground</t>
        </is>
      </c>
      <c r="D91" s="6" t="inlineStr">
        <is>
          <t>Cable</t>
        </is>
      </c>
      <c r="E91" s="7" t="inlineStr">
        <is>
          <t>3/0 AWG Cable Black (Copper)</t>
        </is>
      </c>
      <c r="F91" s="7" t="n"/>
      <c r="G91" s="6" t="inlineStr">
        <is>
          <t>N/A</t>
        </is>
      </c>
      <c r="H91" s="6" t="n"/>
      <c r="I91" s="6" t="n"/>
      <c r="J91" s="6" t="inlineStr">
        <is>
          <t>FT</t>
        </is>
      </c>
      <c r="K91" s="6" t="inlineStr">
        <is>
          <t>GP1R-E4</t>
        </is>
      </c>
      <c r="L91" s="6" t="inlineStr">
        <is>
          <t>unknown</t>
        </is>
      </c>
      <c r="M91" s="7" t="n"/>
    </row>
    <row r="92">
      <c r="A92" s="2" t="inlineStr">
        <is>
          <t>10</t>
        </is>
      </c>
      <c r="B92" s="2" t="inlineStr">
        <is>
          <t>Electrical</t>
        </is>
      </c>
      <c r="C92" s="3" t="inlineStr">
        <is>
          <t>Feeders, Cable, Conduit &amp; Ground</t>
        </is>
      </c>
      <c r="D92" s="2" t="inlineStr">
        <is>
          <t>Cable</t>
        </is>
      </c>
      <c r="E92" s="3" t="inlineStr">
        <is>
          <t>3/0 AWG Cable Red (Copper)</t>
        </is>
      </c>
      <c r="F92" s="3" t="n"/>
      <c r="G92" s="2" t="inlineStr">
        <is>
          <t>N/A</t>
        </is>
      </c>
      <c r="H92" s="2" t="n"/>
      <c r="I92" s="2" t="n"/>
      <c r="J92" s="2" t="inlineStr">
        <is>
          <t>FT</t>
        </is>
      </c>
      <c r="K92" s="2" t="inlineStr">
        <is>
          <t>GP1R-E4</t>
        </is>
      </c>
      <c r="L92" s="2" t="inlineStr">
        <is>
          <t>unknown</t>
        </is>
      </c>
      <c r="M92" s="3" t="n"/>
    </row>
    <row r="93">
      <c r="A93" s="6" t="inlineStr">
        <is>
          <t>10</t>
        </is>
      </c>
      <c r="B93" s="6" t="inlineStr">
        <is>
          <t>Electrical</t>
        </is>
      </c>
      <c r="C93" s="7" t="inlineStr">
        <is>
          <t>Feeders, Cable, Conduit &amp; Ground</t>
        </is>
      </c>
      <c r="D93" s="6" t="inlineStr">
        <is>
          <t>Cable</t>
        </is>
      </c>
      <c r="E93" s="7" t="inlineStr">
        <is>
          <t>3/0 AWG Cable White (Copper)</t>
        </is>
      </c>
      <c r="F93" s="7" t="n"/>
      <c r="G93" s="6" t="inlineStr">
        <is>
          <t>N/A</t>
        </is>
      </c>
      <c r="H93" s="6" t="n"/>
      <c r="I93" s="6" t="n"/>
      <c r="J93" s="6" t="inlineStr">
        <is>
          <t>FT</t>
        </is>
      </c>
      <c r="K93" s="6" t="inlineStr">
        <is>
          <t>GP1R-E4</t>
        </is>
      </c>
      <c r="L93" s="6" t="inlineStr">
        <is>
          <t>unknown</t>
        </is>
      </c>
      <c r="M93" s="7" t="n"/>
    </row>
    <row r="94">
      <c r="A94" s="2" t="inlineStr">
        <is>
          <t>10</t>
        </is>
      </c>
      <c r="B94" s="2" t="inlineStr">
        <is>
          <t>Electrical</t>
        </is>
      </c>
      <c r="C94" s="3" t="inlineStr">
        <is>
          <t>Feeders, Cable, Conduit &amp; Ground</t>
        </is>
      </c>
      <c r="D94" s="2" t="inlineStr">
        <is>
          <t>Cable</t>
        </is>
      </c>
      <c r="E94" s="3" t="inlineStr">
        <is>
          <t>#6 AWG Cable Green (Copper)</t>
        </is>
      </c>
      <c r="F94" s="3" t="n"/>
      <c r="G94" s="2" t="inlineStr">
        <is>
          <t>N/A</t>
        </is>
      </c>
      <c r="H94" s="2" t="n"/>
      <c r="I94" s="2" t="n"/>
      <c r="J94" s="2" t="inlineStr">
        <is>
          <t>FT</t>
        </is>
      </c>
      <c r="K94" s="2" t="inlineStr">
        <is>
          <t>GP1R-E4</t>
        </is>
      </c>
      <c r="L94" s="2" t="inlineStr">
        <is>
          <t>unknown</t>
        </is>
      </c>
      <c r="M94" s="3" t="n"/>
    </row>
    <row r="95">
      <c r="A95" s="6" t="inlineStr">
        <is>
          <t>10</t>
        </is>
      </c>
      <c r="B95" s="6" t="inlineStr">
        <is>
          <t>Electrical</t>
        </is>
      </c>
      <c r="C95" s="7" t="inlineStr">
        <is>
          <t>Feeders, Cable, Conduit &amp; Ground</t>
        </is>
      </c>
      <c r="D95" s="6" t="inlineStr">
        <is>
          <t>Cable</t>
        </is>
      </c>
      <c r="E95" s="7" t="inlineStr">
        <is>
          <t>#8 AWG Cable Green (Copper)</t>
        </is>
      </c>
      <c r="F95" s="7" t="n"/>
      <c r="G95" s="6" t="inlineStr">
        <is>
          <t>N/A</t>
        </is>
      </c>
      <c r="H95" s="6" t="n"/>
      <c r="I95" s="6" t="n"/>
      <c r="J95" s="6" t="inlineStr">
        <is>
          <t>FT</t>
        </is>
      </c>
      <c r="K95" s="6" t="inlineStr">
        <is>
          <t>GP1R-E4</t>
        </is>
      </c>
      <c r="L95" s="6" t="inlineStr">
        <is>
          <t>unknown</t>
        </is>
      </c>
      <c r="M95" s="7" t="n"/>
    </row>
    <row r="96">
      <c r="A96" s="2" t="inlineStr">
        <is>
          <t>10</t>
        </is>
      </c>
      <c r="B96" s="2" t="inlineStr">
        <is>
          <t>Electrical</t>
        </is>
      </c>
      <c r="C96" s="3" t="inlineStr">
        <is>
          <t>Panelboards &amp; Distribution</t>
        </is>
      </c>
      <c r="D96" s="2" t="inlineStr">
        <is>
          <t>1 | MGP1</t>
        </is>
      </c>
      <c r="E96" s="3" t="inlineStr">
        <is>
          <t>Main panelboard MGP1, 120/240V 1ph 3W, 225A bus, 175AT MB, 22kAIC, NEMA 3R</t>
        </is>
      </c>
      <c r="F96" s="3" t="inlineStr">
        <is>
          <t>MEP module</t>
        </is>
      </c>
      <c r="G96" s="2" t="inlineStr">
        <is>
          <t>Square D / Siemens or eq</t>
        </is>
      </c>
      <c r="H96" s="2" t="n"/>
      <c r="I96" s="4" t="n">
        <v>1</v>
      </c>
      <c r="J96" s="2" t="inlineStr">
        <is>
          <t>no</t>
        </is>
      </c>
      <c r="K96" s="2" t="inlineStr">
        <is>
          <t>GP1-E5</t>
        </is>
      </c>
      <c r="L96" s="2" t="inlineStr">
        <is>
          <t>in_progress</t>
        </is>
      </c>
      <c r="M96" s="3" t="inlineStr">
        <is>
          <t>44,065 VA connected / 184A</t>
        </is>
      </c>
    </row>
    <row r="97">
      <c r="A97" s="6" t="inlineStr">
        <is>
          <t>10</t>
        </is>
      </c>
      <c r="B97" s="6" t="inlineStr">
        <is>
          <t>Electrical</t>
        </is>
      </c>
      <c r="C97" s="7" t="inlineStr">
        <is>
          <t>Panelboards &amp; Distribution</t>
        </is>
      </c>
      <c r="D97" s="6" t="inlineStr">
        <is>
          <t>2 | GP1</t>
        </is>
      </c>
      <c r="E97" s="7" t="inlineStr">
        <is>
          <t>Sub-panel GP1, 150A bus, 80AT MB, 22kAIC, NEMA 1/2</t>
        </is>
      </c>
      <c r="F97" s="7" t="inlineStr">
        <is>
          <t>Guest Pavilion</t>
        </is>
      </c>
      <c r="G97" s="6" t="inlineStr">
        <is>
          <t>Square D / Siemens or eq</t>
        </is>
      </c>
      <c r="H97" s="6" t="n"/>
      <c r="I97" s="8" t="n">
        <v>1</v>
      </c>
      <c r="J97" s="6" t="inlineStr">
        <is>
          <t>no</t>
        </is>
      </c>
      <c r="K97" s="6" t="inlineStr">
        <is>
          <t>GP1-E5</t>
        </is>
      </c>
      <c r="L97" s="6" t="inlineStr">
        <is>
          <t>in_progress</t>
        </is>
      </c>
      <c r="M97" s="7" t="inlineStr">
        <is>
          <t>10,803 VA / 45A</t>
        </is>
      </c>
    </row>
    <row r="98">
      <c r="A98" s="2" t="inlineStr">
        <is>
          <t>10</t>
        </is>
      </c>
      <c r="B98" s="2" t="inlineStr">
        <is>
          <t>Electrical</t>
        </is>
      </c>
      <c r="C98" s="3" t="inlineStr">
        <is>
          <t>Panelboards &amp; Distribution</t>
        </is>
      </c>
      <c r="D98" s="2" t="inlineStr">
        <is>
          <t>3</t>
        </is>
      </c>
      <c r="E98" s="3" t="inlineStr">
        <is>
          <t>225A Meter Combo, 175A MCB, NEMA 3R, 120/240V, 1PH, 3W</t>
        </is>
      </c>
      <c r="F98" s="3" t="n"/>
      <c r="G98" s="2" t="n"/>
      <c r="H98" s="2" t="n"/>
      <c r="I98" s="2" t="n"/>
      <c r="J98" s="2" t="n"/>
      <c r="K98" s="2" t="n"/>
      <c r="L98" s="2" t="inlineStr">
        <is>
          <t>unknown</t>
        </is>
      </c>
      <c r="M98" s="3" t="n"/>
    </row>
    <row r="99">
      <c r="A99" s="6" t="inlineStr">
        <is>
          <t>10</t>
        </is>
      </c>
      <c r="B99" s="6" t="inlineStr">
        <is>
          <t>Electrical</t>
        </is>
      </c>
      <c r="C99" s="7" t="inlineStr">
        <is>
          <t>Panelboards &amp; Distribution</t>
        </is>
      </c>
      <c r="D99" s="6" t="inlineStr">
        <is>
          <t>4 | GP1</t>
        </is>
      </c>
      <c r="E99" s="7" t="inlineStr">
        <is>
          <t>SPD, 160KA Surge Current Rating, Multimode Protection, 80KA Per Mode, Service Entrance MCOV= 140V To 150V RMS Voltage Nominal= 240/120V, 1PH, 3W, UL Listed, Side Mounted, NEMA 3R</t>
        </is>
      </c>
      <c r="F99" s="7" t="inlineStr">
        <is>
          <t>MEP Module</t>
        </is>
      </c>
      <c r="G99" s="6" t="n"/>
      <c r="H99" s="6" t="n"/>
      <c r="I99" s="8" t="n">
        <v>1</v>
      </c>
      <c r="J99" s="6" t="inlineStr">
        <is>
          <t>no</t>
        </is>
      </c>
      <c r="K99" s="6" t="inlineStr">
        <is>
          <t>GP1-E5</t>
        </is>
      </c>
      <c r="L99" s="6" t="inlineStr">
        <is>
          <t>unknown</t>
        </is>
      </c>
      <c r="M99" s="7" t="n"/>
    </row>
    <row r="100">
      <c r="A100" s="2" t="inlineStr">
        <is>
          <t>10</t>
        </is>
      </c>
      <c r="B100" s="2" t="inlineStr">
        <is>
          <t>Electrical</t>
        </is>
      </c>
      <c r="C100" s="3" t="inlineStr">
        <is>
          <t>Wiring Devices &amp; Power</t>
        </is>
      </c>
      <c r="D100" s="2" t="inlineStr">
        <is>
          <t>1</t>
        </is>
      </c>
      <c r="E100" s="3" t="inlineStr">
        <is>
          <t>Wiring devices - switches, outlets, cover plates (general)</t>
        </is>
      </c>
      <c r="F100" s="3" t="inlineStr">
        <is>
          <t>Guestroom</t>
        </is>
      </c>
      <c r="G100" s="2" t="n"/>
      <c r="H100" s="2" t="n"/>
      <c r="I100" s="2" t="n"/>
      <c r="J100" s="2" t="inlineStr">
        <is>
          <t>lot</t>
        </is>
      </c>
      <c r="K100" s="2" t="inlineStr">
        <is>
          <t>GP1-E2</t>
        </is>
      </c>
      <c r="L100" s="2" t="inlineStr">
        <is>
          <t>not_started</t>
        </is>
      </c>
      <c r="M100" s="3" t="inlineStr">
        <is>
          <t>Lutron receptacles/faceplates tracked in Lighting (LTG-04)</t>
        </is>
      </c>
    </row>
    <row r="101">
      <c r="A101" s="6" t="inlineStr">
        <is>
          <t>11</t>
        </is>
      </c>
      <c r="B101" s="6" t="inlineStr">
        <is>
          <t>Low Voltage &amp; ICT</t>
        </is>
      </c>
      <c r="C101" s="7" t="inlineStr">
        <is>
          <t>Telephone, CATV, IT &amp; Data</t>
        </is>
      </c>
      <c r="D101" s="6" t="inlineStr">
        <is>
          <t>1</t>
        </is>
      </c>
      <c r="E101" s="7" t="inlineStr">
        <is>
          <t>Structured cabling / outlets / risers - telephone, CATV, IT / data</t>
        </is>
      </c>
      <c r="F101" s="7" t="inlineStr">
        <is>
          <t>Guestroom</t>
        </is>
      </c>
      <c r="G101" s="6" t="n"/>
      <c r="H101" s="6" t="n"/>
      <c r="I101" s="6" t="n"/>
      <c r="J101" s="6" t="inlineStr">
        <is>
          <t>lot</t>
        </is>
      </c>
      <c r="K101" s="6" t="inlineStr">
        <is>
          <t>GP1-E6</t>
        </is>
      </c>
      <c r="L101" s="6" t="inlineStr">
        <is>
          <t>not_started</t>
        </is>
      </c>
      <c r="M101" s="7" t="n"/>
    </row>
    <row r="102">
      <c r="A102" s="2" t="inlineStr">
        <is>
          <t>12</t>
        </is>
      </c>
      <c r="B102" s="2" t="inlineStr">
        <is>
          <t>Lighting</t>
        </is>
      </c>
      <c r="C102" s="3" t="inlineStr">
        <is>
          <t>Architectural Luminaires</t>
        </is>
      </c>
      <c r="D102" s="2" t="inlineStr">
        <is>
          <t>1 | L01</t>
        </is>
      </c>
      <c r="E102" s="3" t="inlineStr">
        <is>
          <t>Recessed downlight, 14 deg</t>
        </is>
      </c>
      <c r="F102" s="3" t="inlineStr">
        <is>
          <t>Interior ceilings</t>
        </is>
      </c>
      <c r="G102" s="2" t="n"/>
      <c r="H102" s="2" t="n"/>
      <c r="I102" s="4" t="n">
        <v>13</v>
      </c>
      <c r="J102" s="2" t="inlineStr">
        <is>
          <t>pc</t>
        </is>
      </c>
      <c r="K102" s="2" t="inlineStr">
        <is>
          <t>Luminaire Sched</t>
        </is>
      </c>
      <c r="L102" s="2" t="inlineStr">
        <is>
          <t>in_progress</t>
        </is>
      </c>
      <c r="M102" s="3" t="n"/>
    </row>
    <row r="103">
      <c r="A103" s="6" t="inlineStr">
        <is>
          <t>12</t>
        </is>
      </c>
      <c r="B103" s="6" t="inlineStr">
        <is>
          <t>Lighting</t>
        </is>
      </c>
      <c r="C103" s="7" t="inlineStr">
        <is>
          <t>Architectural Luminaires</t>
        </is>
      </c>
      <c r="D103" s="6" t="inlineStr">
        <is>
          <t>2 | L02</t>
        </is>
      </c>
      <c r="E103" s="7" t="inlineStr">
        <is>
          <t>Recessed downlight, 26 deg</t>
        </is>
      </c>
      <c r="F103" s="7" t="inlineStr">
        <is>
          <t>Interior ceilings</t>
        </is>
      </c>
      <c r="G103" s="6" t="n"/>
      <c r="H103" s="6" t="n"/>
      <c r="I103" s="8" t="n">
        <v>12</v>
      </c>
      <c r="J103" s="6" t="inlineStr">
        <is>
          <t>pc</t>
        </is>
      </c>
      <c r="K103" s="6" t="inlineStr">
        <is>
          <t>Luminaire Sched</t>
        </is>
      </c>
      <c r="L103" s="6" t="inlineStr">
        <is>
          <t>in_progress</t>
        </is>
      </c>
      <c r="M103" s="7" t="n"/>
    </row>
    <row r="104">
      <c r="A104" s="2" t="inlineStr">
        <is>
          <t>12</t>
        </is>
      </c>
      <c r="B104" s="2" t="inlineStr">
        <is>
          <t>Lighting</t>
        </is>
      </c>
      <c r="C104" s="3" t="inlineStr">
        <is>
          <t>Architectural Luminaires</t>
        </is>
      </c>
      <c r="D104" s="2" t="inlineStr">
        <is>
          <t>3 | L02.1</t>
        </is>
      </c>
      <c r="E104" s="3" t="inlineStr">
        <is>
          <t>Recessed projector, 24 deg (accent)</t>
        </is>
      </c>
      <c r="F104" s="3" t="inlineStr">
        <is>
          <t>Interior ceilings</t>
        </is>
      </c>
      <c r="G104" s="2" t="n"/>
      <c r="H104" s="2" t="n"/>
      <c r="I104" s="4" t="n">
        <v>4</v>
      </c>
      <c r="J104" s="2" t="inlineStr">
        <is>
          <t>pc</t>
        </is>
      </c>
      <c r="K104" s="2" t="inlineStr">
        <is>
          <t>Luminaire Sched</t>
        </is>
      </c>
      <c r="L104" s="2" t="inlineStr">
        <is>
          <t>in_progress</t>
        </is>
      </c>
      <c r="M104" s="3" t="n"/>
    </row>
    <row r="105">
      <c r="A105" s="6" t="inlineStr">
        <is>
          <t>12</t>
        </is>
      </c>
      <c r="B105" s="6" t="inlineStr">
        <is>
          <t>Lighting</t>
        </is>
      </c>
      <c r="C105" s="7" t="inlineStr">
        <is>
          <t>Architectural Luminaires</t>
        </is>
      </c>
      <c r="D105" s="6" t="inlineStr">
        <is>
          <t>4 | L07</t>
        </is>
      </c>
      <c r="E105" s="7" t="inlineStr">
        <is>
          <t>Wall niche / step light</t>
        </is>
      </c>
      <c r="F105" s="7" t="inlineStr">
        <is>
          <t>Stair / niche</t>
        </is>
      </c>
      <c r="G105" s="6" t="n"/>
      <c r="H105" s="6" t="n"/>
      <c r="I105" s="8" t="n">
        <v>4</v>
      </c>
      <c r="J105" s="6" t="inlineStr">
        <is>
          <t>pc</t>
        </is>
      </c>
      <c r="K105" s="6" t="inlineStr">
        <is>
          <t>Luminaire Sched</t>
        </is>
      </c>
      <c r="L105" s="6" t="inlineStr">
        <is>
          <t>in_progress</t>
        </is>
      </c>
      <c r="M105" s="7" t="n"/>
    </row>
    <row r="106">
      <c r="A106" s="2" t="inlineStr">
        <is>
          <t>12</t>
        </is>
      </c>
      <c r="B106" s="2" t="inlineStr">
        <is>
          <t>Lighting</t>
        </is>
      </c>
      <c r="C106" s="3" t="inlineStr">
        <is>
          <t>Architectural Luminaires</t>
        </is>
      </c>
      <c r="D106" s="2" t="inlineStr">
        <is>
          <t>5 | L06.1</t>
        </is>
      </c>
      <c r="E106" s="3" t="inlineStr">
        <is>
          <t>Integrated mini-downlight (closet/vanity/minibar)</t>
        </is>
      </c>
      <c r="F106" s="3" t="inlineStr">
        <is>
          <t>Furniture</t>
        </is>
      </c>
      <c r="G106" s="2" t="n"/>
      <c r="H106" s="2" t="n"/>
      <c r="I106" s="4" t="n">
        <v>16</v>
      </c>
      <c r="J106" s="2" t="inlineStr">
        <is>
          <t>pc</t>
        </is>
      </c>
      <c r="K106" s="2" t="inlineStr">
        <is>
          <t>Luminaire Sched</t>
        </is>
      </c>
      <c r="L106" s="2" t="inlineStr">
        <is>
          <t>in_progress</t>
        </is>
      </c>
      <c r="M106" s="3" t="n"/>
    </row>
    <row r="107">
      <c r="A107" s="6" t="inlineStr">
        <is>
          <t>12</t>
        </is>
      </c>
      <c r="B107" s="6" t="inlineStr">
        <is>
          <t>Lighting</t>
        </is>
      </c>
      <c r="C107" s="7" t="inlineStr">
        <is>
          <t>Architectural Luminaires</t>
        </is>
      </c>
      <c r="D107" s="6" t="inlineStr">
        <is>
          <t>6 | L12</t>
        </is>
      </c>
      <c r="E107" s="7" t="inlineStr">
        <is>
          <t>Surface-mounted service downlight</t>
        </is>
      </c>
      <c r="F107" s="7" t="inlineStr">
        <is>
          <t>Service / BOH</t>
        </is>
      </c>
      <c r="G107" s="6" t="n"/>
      <c r="H107" s="6" t="n"/>
      <c r="I107" s="8" t="n">
        <v>1</v>
      </c>
      <c r="J107" s="6" t="inlineStr">
        <is>
          <t>pc</t>
        </is>
      </c>
      <c r="K107" s="6" t="inlineStr">
        <is>
          <t>Luminaire Sched</t>
        </is>
      </c>
      <c r="L107" s="6" t="inlineStr">
        <is>
          <t>in_progress</t>
        </is>
      </c>
      <c r="M107" s="7" t="n"/>
    </row>
    <row r="108">
      <c r="A108" s="2" t="inlineStr">
        <is>
          <t>12</t>
        </is>
      </c>
      <c r="B108" s="2" t="inlineStr">
        <is>
          <t>Lighting</t>
        </is>
      </c>
      <c r="C108" s="3" t="inlineStr">
        <is>
          <t>Decorative Fixtures</t>
        </is>
      </c>
      <c r="D108" s="2" t="inlineStr">
        <is>
          <t>1 | D01</t>
        </is>
      </c>
      <c r="E108" s="3" t="inlineStr">
        <is>
          <t>Sconce (Ella OUT 1.0)</t>
        </is>
      </c>
      <c r="F108" s="3" t="inlineStr">
        <is>
          <t>Exterior wall</t>
        </is>
      </c>
      <c r="G108" s="2" t="n"/>
      <c r="H108" s="2" t="inlineStr">
        <is>
          <t>Ella OUT 1.0</t>
        </is>
      </c>
      <c r="I108" s="4" t="n">
        <v>1</v>
      </c>
      <c r="J108" s="2" t="inlineStr">
        <is>
          <t>pc</t>
        </is>
      </c>
      <c r="K108" s="2" t="inlineStr">
        <is>
          <t>Luminaire Sched</t>
        </is>
      </c>
      <c r="L108" s="2" t="inlineStr">
        <is>
          <t>in_progress</t>
        </is>
      </c>
      <c r="M108" s="3" t="n"/>
    </row>
    <row r="109">
      <c r="A109" s="6" t="inlineStr">
        <is>
          <t>12</t>
        </is>
      </c>
      <c r="B109" s="6" t="inlineStr">
        <is>
          <t>Lighting</t>
        </is>
      </c>
      <c r="C109" s="7" t="inlineStr">
        <is>
          <t>Decorative Fixtures</t>
        </is>
      </c>
      <c r="D109" s="6" t="inlineStr">
        <is>
          <t>2 | D01.2</t>
        </is>
      </c>
      <c r="E109" s="7" t="inlineStr">
        <is>
          <t>Sconce + reading light</t>
        </is>
      </c>
      <c r="F109" s="7" t="inlineStr">
        <is>
          <t>Bedroom (reading)</t>
        </is>
      </c>
      <c r="G109" s="6" t="n"/>
      <c r="H109" s="6" t="n"/>
      <c r="I109" s="8" t="n">
        <v>2</v>
      </c>
      <c r="J109" s="6" t="inlineStr">
        <is>
          <t>pc</t>
        </is>
      </c>
      <c r="K109" s="6" t="inlineStr">
        <is>
          <t>Luminaire Sched</t>
        </is>
      </c>
      <c r="L109" s="6" t="inlineStr">
        <is>
          <t>in_progress</t>
        </is>
      </c>
      <c r="M109" s="7" t="n"/>
    </row>
    <row r="110">
      <c r="A110" s="2" t="inlineStr">
        <is>
          <t>12</t>
        </is>
      </c>
      <c r="B110" s="2" t="inlineStr">
        <is>
          <t>Lighting</t>
        </is>
      </c>
      <c r="C110" s="3" t="inlineStr">
        <is>
          <t>Decorative Fixtures</t>
        </is>
      </c>
      <c r="D110" s="2" t="inlineStr">
        <is>
          <t>3 | D01.3</t>
        </is>
      </c>
      <c r="E110" s="3" t="inlineStr">
        <is>
          <t>Indirect wall lamp (Foil)</t>
        </is>
      </c>
      <c r="F110" s="3" t="inlineStr">
        <is>
          <t>Interior wall</t>
        </is>
      </c>
      <c r="G110" s="2" t="n"/>
      <c r="H110" s="2" t="inlineStr">
        <is>
          <t>Foil</t>
        </is>
      </c>
      <c r="I110" s="4" t="n">
        <v>2</v>
      </c>
      <c r="J110" s="2" t="inlineStr">
        <is>
          <t>pc</t>
        </is>
      </c>
      <c r="K110" s="2" t="inlineStr">
        <is>
          <t>Luminaire Sched</t>
        </is>
      </c>
      <c r="L110" s="2" t="inlineStr">
        <is>
          <t>in_progress</t>
        </is>
      </c>
      <c r="M110" s="3" t="n"/>
    </row>
    <row r="111">
      <c r="A111" s="6" t="inlineStr">
        <is>
          <t>12</t>
        </is>
      </c>
      <c r="B111" s="6" t="inlineStr">
        <is>
          <t>Lighting</t>
        </is>
      </c>
      <c r="C111" s="7" t="inlineStr">
        <is>
          <t>Decorative Fixtures</t>
        </is>
      </c>
      <c r="D111" s="6" t="inlineStr">
        <is>
          <t>4 | D02</t>
        </is>
      </c>
      <c r="E111" s="7" t="inlineStr">
        <is>
          <t>Table lamp (Una Small)</t>
        </is>
      </c>
      <c r="F111" s="7" t="inlineStr">
        <is>
          <t>Minibar</t>
        </is>
      </c>
      <c r="G111" s="6" t="n"/>
      <c r="H111" s="6" t="inlineStr">
        <is>
          <t>Una Small</t>
        </is>
      </c>
      <c r="I111" s="8" t="n">
        <v>1</v>
      </c>
      <c r="J111" s="6" t="inlineStr">
        <is>
          <t>pc</t>
        </is>
      </c>
      <c r="K111" s="6" t="inlineStr">
        <is>
          <t>Luminaire Sched</t>
        </is>
      </c>
      <c r="L111" s="6" t="inlineStr">
        <is>
          <t>in_progress</t>
        </is>
      </c>
      <c r="M111" s="7" t="n"/>
    </row>
    <row r="112">
      <c r="A112" s="2" t="inlineStr">
        <is>
          <t>12</t>
        </is>
      </c>
      <c r="B112" s="2" t="inlineStr">
        <is>
          <t>Lighting</t>
        </is>
      </c>
      <c r="C112" s="3" t="inlineStr">
        <is>
          <t>Decorative Fixtures</t>
        </is>
      </c>
      <c r="D112" s="2" t="inlineStr">
        <is>
          <t>5 | D03</t>
        </is>
      </c>
      <c r="E112" s="3" t="inlineStr">
        <is>
          <t>Floor lamp (Kando P/111)</t>
        </is>
      </c>
      <c r="F112" s="3" t="inlineStr">
        <is>
          <t>Pool terrace</t>
        </is>
      </c>
      <c r="G112" s="2" t="n"/>
      <c r="H112" s="2" t="inlineStr">
        <is>
          <t>Kando P/111</t>
        </is>
      </c>
      <c r="I112" s="4" t="n">
        <v>1</v>
      </c>
      <c r="J112" s="2" t="inlineStr">
        <is>
          <t>pc</t>
        </is>
      </c>
      <c r="K112" s="2" t="inlineStr">
        <is>
          <t>Luminaire Sched</t>
        </is>
      </c>
      <c r="L112" s="2" t="inlineStr">
        <is>
          <t>in_progress</t>
        </is>
      </c>
      <c r="M112" s="3" t="n"/>
    </row>
    <row r="113">
      <c r="A113" s="6" t="inlineStr">
        <is>
          <t>12</t>
        </is>
      </c>
      <c r="B113" s="6" t="inlineStr">
        <is>
          <t>Lighting</t>
        </is>
      </c>
      <c r="C113" s="7" t="inlineStr">
        <is>
          <t>Decorative Fixtures</t>
        </is>
      </c>
      <c r="D113" s="6" t="inlineStr">
        <is>
          <t>6 | P01</t>
        </is>
      </c>
      <c r="E113" s="7" t="inlineStr">
        <is>
          <t>Portable lamp (Kando M/40/R)</t>
        </is>
      </c>
      <c r="F113" s="7" t="inlineStr">
        <is>
          <t>Portable</t>
        </is>
      </c>
      <c r="G113" s="6" t="n"/>
      <c r="H113" s="6" t="inlineStr">
        <is>
          <t>Kando M/40/R</t>
        </is>
      </c>
      <c r="I113" s="8" t="n">
        <v>1</v>
      </c>
      <c r="J113" s="6" t="inlineStr">
        <is>
          <t>pc</t>
        </is>
      </c>
      <c r="K113" s="6" t="inlineStr">
        <is>
          <t>Luminaire Sched</t>
        </is>
      </c>
      <c r="L113" s="6" t="inlineStr">
        <is>
          <t>in_progress</t>
        </is>
      </c>
      <c r="M113" s="7" t="n"/>
    </row>
    <row r="114">
      <c r="A114" s="2" t="inlineStr">
        <is>
          <t>12</t>
        </is>
      </c>
      <c r="B114" s="2" t="inlineStr">
        <is>
          <t>Lighting</t>
        </is>
      </c>
      <c r="C114" s="3" t="inlineStr">
        <is>
          <t>LED Strips &amp; Drivers</t>
        </is>
      </c>
      <c r="D114" s="2" t="inlineStr">
        <is>
          <t>1 | L03</t>
        </is>
      </c>
      <c r="E114" s="3" t="inlineStr">
        <is>
          <t>Indirect LED strip (cove)</t>
        </is>
      </c>
      <c r="F114" s="3" t="inlineStr">
        <is>
          <t>Living / outdoor living</t>
        </is>
      </c>
      <c r="G114" s="2" t="n"/>
      <c r="H114" s="2" t="n"/>
      <c r="I114" s="4" t="n">
        <v>26</v>
      </c>
      <c r="J114" s="2" t="inlineStr">
        <is>
          <t>ft</t>
        </is>
      </c>
      <c r="K114" s="2" t="inlineStr">
        <is>
          <t>Luminaire Sched</t>
        </is>
      </c>
      <c r="L114" s="2" t="inlineStr">
        <is>
          <t>in_progress</t>
        </is>
      </c>
      <c r="M114" s="3" t="n"/>
    </row>
    <row r="115">
      <c r="A115" s="6" t="inlineStr">
        <is>
          <t>12</t>
        </is>
      </c>
      <c r="B115" s="6" t="inlineStr">
        <is>
          <t>Lighting</t>
        </is>
      </c>
      <c r="C115" s="7" t="inlineStr">
        <is>
          <t>LED Strips &amp; Drivers</t>
        </is>
      </c>
      <c r="D115" s="6" t="inlineStr">
        <is>
          <t>2 | L05.1</t>
        </is>
      </c>
      <c r="E115" s="7" t="inlineStr">
        <is>
          <t>LED strip in furniture, 2.93 W/ft</t>
        </is>
      </c>
      <c r="F115" s="7" t="inlineStr">
        <is>
          <t>Bedroom (headboard)</t>
        </is>
      </c>
      <c r="G115" s="6" t="n"/>
      <c r="H115" s="6" t="n"/>
      <c r="I115" s="8" t="n">
        <v>18.17</v>
      </c>
      <c r="J115" s="6" t="inlineStr">
        <is>
          <t>ft</t>
        </is>
      </c>
      <c r="K115" s="6" t="inlineStr">
        <is>
          <t>Luminaire Sched</t>
        </is>
      </c>
      <c r="L115" s="6" t="inlineStr">
        <is>
          <t>in_progress</t>
        </is>
      </c>
      <c r="M115" s="7" t="n"/>
    </row>
    <row r="116">
      <c r="A116" s="2" t="inlineStr">
        <is>
          <t>12</t>
        </is>
      </c>
      <c r="B116" s="2" t="inlineStr">
        <is>
          <t>Lighting</t>
        </is>
      </c>
      <c r="C116" s="3" t="inlineStr">
        <is>
          <t>LED Strips &amp; Drivers</t>
        </is>
      </c>
      <c r="D116" s="2" t="inlineStr">
        <is>
          <t>3 | L05.2</t>
        </is>
      </c>
      <c r="E116" s="3" t="inlineStr">
        <is>
          <t>LED strip in furniture, 0.73 W/ft</t>
        </is>
      </c>
      <c r="F116" s="3" t="inlineStr">
        <is>
          <t>Bedroom (under bed)</t>
        </is>
      </c>
      <c r="G116" s="2" t="n"/>
      <c r="H116" s="2" t="n"/>
      <c r="I116" s="4" t="n">
        <v>8</v>
      </c>
      <c r="J116" s="2" t="inlineStr">
        <is>
          <t>ft</t>
        </is>
      </c>
      <c r="K116" s="2" t="inlineStr">
        <is>
          <t>Luminaire Sched</t>
        </is>
      </c>
      <c r="L116" s="2" t="inlineStr">
        <is>
          <t>in_progress</t>
        </is>
      </c>
      <c r="M116" s="3" t="n"/>
    </row>
    <row r="117">
      <c r="A117" s="6" t="inlineStr">
        <is>
          <t>12</t>
        </is>
      </c>
      <c r="B117" s="6" t="inlineStr">
        <is>
          <t>Lighting</t>
        </is>
      </c>
      <c r="C117" s="7" t="inlineStr">
        <is>
          <t>LED Strips &amp; Drivers</t>
        </is>
      </c>
      <c r="D117" s="6" t="inlineStr">
        <is>
          <t>4 | L05.4</t>
        </is>
      </c>
      <c r="E117" s="7" t="inlineStr">
        <is>
          <t>LED strip in furniture, IP67</t>
        </is>
      </c>
      <c r="F117" s="7" t="inlineStr">
        <is>
          <t>Bathroom (wet)</t>
        </is>
      </c>
      <c r="G117" s="6" t="n"/>
      <c r="H117" s="6" t="n"/>
      <c r="I117" s="8" t="n">
        <v>1</v>
      </c>
      <c r="J117" s="6" t="inlineStr">
        <is>
          <t>ft</t>
        </is>
      </c>
      <c r="K117" s="6" t="inlineStr">
        <is>
          <t>Luminaire Sched</t>
        </is>
      </c>
      <c r="L117" s="6" t="inlineStr">
        <is>
          <t>in_progress</t>
        </is>
      </c>
      <c r="M117" s="7" t="n"/>
    </row>
    <row r="118">
      <c r="A118" s="2" t="inlineStr">
        <is>
          <t>12</t>
        </is>
      </c>
      <c r="B118" s="2" t="inlineStr">
        <is>
          <t>Lighting</t>
        </is>
      </c>
      <c r="C118" s="3" t="inlineStr">
        <is>
          <t>LED Strips &amp; Drivers</t>
        </is>
      </c>
      <c r="D118" s="2" t="inlineStr">
        <is>
          <t>5 | L07.2</t>
        </is>
      </c>
      <c r="E118" s="3" t="inlineStr">
        <is>
          <t>LED strip in exterior step</t>
        </is>
      </c>
      <c r="F118" s="3" t="inlineStr">
        <is>
          <t>Exterior steps</t>
        </is>
      </c>
      <c r="G118" s="2" t="n"/>
      <c r="H118" s="2" t="n"/>
      <c r="I118" s="4" t="n">
        <v>1.58</v>
      </c>
      <c r="J118" s="2" t="inlineStr">
        <is>
          <t>ft</t>
        </is>
      </c>
      <c r="K118" s="2" t="inlineStr">
        <is>
          <t>Luminaire Sched</t>
        </is>
      </c>
      <c r="L118" s="2" t="inlineStr">
        <is>
          <t>in_progress</t>
        </is>
      </c>
      <c r="M118" s="3" t="n"/>
    </row>
    <row r="119">
      <c r="A119" s="6" t="inlineStr">
        <is>
          <t>12</t>
        </is>
      </c>
      <c r="B119" s="6" t="inlineStr">
        <is>
          <t>Lighting</t>
        </is>
      </c>
      <c r="C119" s="7" t="inlineStr">
        <is>
          <t>Lighting Control System (Lutron)</t>
        </is>
      </c>
      <c r="D119" s="6" t="inlineStr">
        <is>
          <t>10</t>
        </is>
      </c>
      <c r="E119" s="7" t="inlineStr">
        <is>
          <t>International-style wallbox / back box</t>
        </is>
      </c>
      <c r="F119" s="7" t="inlineStr">
        <is>
          <t>Guestroom</t>
        </is>
      </c>
      <c r="G119" s="6" t="inlineStr">
        <is>
          <t>Lutron</t>
        </is>
      </c>
      <c r="H119" s="6" t="inlineStr">
        <is>
          <t>EBB-1-SQ</t>
        </is>
      </c>
      <c r="I119" s="8" t="n">
        <v>10</v>
      </c>
      <c r="J119" s="6" t="inlineStr">
        <is>
          <t>pc</t>
        </is>
      </c>
      <c r="K119" s="6" t="inlineStr">
        <is>
          <t>Report Pkg Rev5</t>
        </is>
      </c>
      <c r="L119" s="6" t="inlineStr">
        <is>
          <t>complete</t>
        </is>
      </c>
      <c r="M119" s="7" t="inlineStr">
        <is>
          <t>DISCREPANCY: confirm vs EBB-15-SQ</t>
        </is>
      </c>
    </row>
    <row r="120">
      <c r="A120" s="2" t="inlineStr">
        <is>
          <t>12</t>
        </is>
      </c>
      <c r="B120" s="2" t="inlineStr">
        <is>
          <t>Lighting</t>
        </is>
      </c>
      <c r="C120" s="3" t="inlineStr">
        <is>
          <t>Lighting Control System (Lutron)</t>
        </is>
      </c>
      <c r="D120" s="2" t="inlineStr">
        <is>
          <t>13</t>
        </is>
      </c>
      <c r="E120" s="3" t="inlineStr">
        <is>
          <t>Maestro PIR occupancy/vacancy switch, 2A</t>
        </is>
      </c>
      <c r="F120" s="3" t="inlineStr">
        <is>
          <t>Guestroom</t>
        </is>
      </c>
      <c r="G120" s="2" t="inlineStr">
        <is>
          <t>Lutron</t>
        </is>
      </c>
      <c r="H120" s="2" t="inlineStr">
        <is>
          <t>MS-OPS2-WH</t>
        </is>
      </c>
      <c r="I120" s="4" t="n">
        <v>1</v>
      </c>
      <c r="J120" s="2" t="inlineStr">
        <is>
          <t>pc</t>
        </is>
      </c>
      <c r="K120" s="2" t="inlineStr">
        <is>
          <t>Report Pkg Rev5</t>
        </is>
      </c>
      <c r="L120" s="2" t="inlineStr">
        <is>
          <t>complete</t>
        </is>
      </c>
      <c r="M120" s="3" t="n"/>
    </row>
    <row r="121">
      <c r="A121" s="6" t="inlineStr">
        <is>
          <t>12</t>
        </is>
      </c>
      <c r="B121" s="6" t="inlineStr">
        <is>
          <t>Lighting</t>
        </is>
      </c>
      <c r="C121" s="7" t="inlineStr">
        <is>
          <t>Lighting Control System (Lutron)</t>
        </is>
      </c>
      <c r="D121" s="6" t="inlineStr">
        <is>
          <t>18</t>
        </is>
      </c>
      <c r="E121" s="7" t="inlineStr">
        <is>
          <t>8-yr limited parts warranty + 2-yr diagnostic labor</t>
        </is>
      </c>
      <c r="F121" s="7" t="inlineStr">
        <is>
          <t>-</t>
        </is>
      </c>
      <c r="G121" s="6" t="inlineStr">
        <is>
          <t>Lutron</t>
        </is>
      </c>
      <c r="H121" s="6" t="inlineStr">
        <is>
          <t>LSC-L2-P8LTD</t>
        </is>
      </c>
      <c r="I121" s="8" t="n">
        <v>1</v>
      </c>
      <c r="J121" s="6" t="inlineStr">
        <is>
          <t>ls</t>
        </is>
      </c>
      <c r="K121" s="6" t="inlineStr">
        <is>
          <t>Quote Rev14</t>
        </is>
      </c>
      <c r="L121" s="6" t="inlineStr">
        <is>
          <t>complete</t>
        </is>
      </c>
      <c r="M121" s="7" t="inlineStr">
        <is>
          <t>service line</t>
        </is>
      </c>
    </row>
    <row r="122">
      <c r="A122" s="2" t="inlineStr">
        <is>
          <t>12</t>
        </is>
      </c>
      <c r="B122" s="2" t="inlineStr">
        <is>
          <t>Lighting</t>
        </is>
      </c>
      <c r="C122" s="3" t="inlineStr">
        <is>
          <t>Lighting Control System (Lutron)</t>
        </is>
      </c>
      <c r="D122" s="2" t="inlineStr">
        <is>
          <t>21</t>
        </is>
      </c>
      <c r="E122" s="3" t="inlineStr">
        <is>
          <t>Palladiom 1-gang faceplate, satin brass (ADD)</t>
        </is>
      </c>
      <c r="F122" s="3" t="inlineStr">
        <is>
          <t>Guestroom</t>
        </is>
      </c>
      <c r="G122" s="2" t="inlineStr">
        <is>
          <t>Lutron</t>
        </is>
      </c>
      <c r="H122" s="2" t="inlineStr">
        <is>
          <t>LWT-U-P-SB</t>
        </is>
      </c>
      <c r="I122" s="4" t="n">
        <v>12</v>
      </c>
      <c r="J122" s="2" t="inlineStr">
        <is>
          <t>pc</t>
        </is>
      </c>
      <c r="K122" s="2" t="inlineStr">
        <is>
          <t>Quote Rev14</t>
        </is>
      </c>
      <c r="L122" s="2" t="inlineStr">
        <is>
          <t>in_progress</t>
        </is>
      </c>
      <c r="M122" s="3" t="inlineStr">
        <is>
          <t>ADDED Rev14 - verify</t>
        </is>
      </c>
    </row>
    <row r="123">
      <c r="A123" s="6" t="inlineStr">
        <is>
          <t>12</t>
        </is>
      </c>
      <c r="B123" s="6" t="inlineStr">
        <is>
          <t>Lighting</t>
        </is>
      </c>
      <c r="C123" s="7" t="inlineStr">
        <is>
          <t>Lighting Control System (Lutron)</t>
        </is>
      </c>
      <c r="D123" s="6" t="inlineStr">
        <is>
          <t>22</t>
        </is>
      </c>
      <c r="E123" s="7" t="inlineStr">
        <is>
          <t>Nova T 15A GFCI self-test TR, black (ADD)</t>
        </is>
      </c>
      <c r="F123" s="7" t="inlineStr">
        <is>
          <t>Guestroom</t>
        </is>
      </c>
      <c r="G123" s="6" t="inlineStr">
        <is>
          <t>Lutron</t>
        </is>
      </c>
      <c r="H123" s="6" t="inlineStr">
        <is>
          <t>NTR-15-GFST-BL</t>
        </is>
      </c>
      <c r="I123" s="8" t="n">
        <v>3</v>
      </c>
      <c r="J123" s="6" t="inlineStr">
        <is>
          <t>pc</t>
        </is>
      </c>
      <c r="K123" s="6" t="inlineStr">
        <is>
          <t>Quote Rev14</t>
        </is>
      </c>
      <c r="L123" s="6" t="inlineStr">
        <is>
          <t>in_progress</t>
        </is>
      </c>
      <c r="M123" s="7" t="inlineStr">
        <is>
          <t>ADDED Rev14 - verify</t>
        </is>
      </c>
    </row>
    <row r="124">
      <c r="A124" s="2" t="inlineStr">
        <is>
          <t>12</t>
        </is>
      </c>
      <c r="B124" s="2" t="inlineStr">
        <is>
          <t>Lighting</t>
        </is>
      </c>
      <c r="C124" s="3" t="inlineStr">
        <is>
          <t>Lighting Control System (Lutron)</t>
        </is>
      </c>
      <c r="D124" s="2" t="inlineStr">
        <is>
          <t>25</t>
        </is>
      </c>
      <c r="E124" s="3" t="inlineStr">
        <is>
          <t>Factory commissioning by Lutron Engineering (ADD)</t>
        </is>
      </c>
      <c r="F124" s="3" t="inlineStr">
        <is>
          <t>-</t>
        </is>
      </c>
      <c r="G124" s="2" t="inlineStr">
        <is>
          <t>Lutron</t>
        </is>
      </c>
      <c r="H124" s="2" t="inlineStr">
        <is>
          <t>Factory Commissioning</t>
        </is>
      </c>
      <c r="I124" s="4" t="n">
        <v>1</v>
      </c>
      <c r="J124" s="2" t="inlineStr">
        <is>
          <t>ls</t>
        </is>
      </c>
      <c r="K124" s="2" t="inlineStr">
        <is>
          <t>Quote Rev14</t>
        </is>
      </c>
      <c r="L124" s="2" t="inlineStr">
        <is>
          <t>in_progress</t>
        </is>
      </c>
      <c r="M124" s="3" t="inlineStr">
        <is>
          <t>service line</t>
        </is>
      </c>
    </row>
    <row r="125">
      <c r="A125" s="6" t="inlineStr">
        <is>
          <t>12</t>
        </is>
      </c>
      <c r="B125" s="6" t="inlineStr">
        <is>
          <t>Lighting</t>
        </is>
      </c>
      <c r="C125" s="7" t="inlineStr">
        <is>
          <t>Lighting Control System (Lutron)</t>
        </is>
      </c>
      <c r="D125" s="6" t="inlineStr">
        <is>
          <t>3</t>
        </is>
      </c>
      <c r="E125" s="7" t="inlineStr">
        <is>
          <t>HWQS feed-through DIN rough-in panel</t>
        </is>
      </c>
      <c r="F125" s="7" t="inlineStr">
        <is>
          <t>MEP</t>
        </is>
      </c>
      <c r="G125" s="6" t="inlineStr">
        <is>
          <t>Lutron</t>
        </is>
      </c>
      <c r="H125" s="6" t="inlineStr">
        <is>
          <t>PD4-36F-120</t>
        </is>
      </c>
      <c r="I125" s="8" t="n">
        <v>1</v>
      </c>
      <c r="J125" s="6" t="inlineStr">
        <is>
          <t>pc</t>
        </is>
      </c>
      <c r="K125" s="6" t="inlineStr">
        <is>
          <t>Report Pkg Rev5</t>
        </is>
      </c>
      <c r="L125" s="6" t="inlineStr">
        <is>
          <t>complete</t>
        </is>
      </c>
      <c r="M125" s="7" t="n"/>
    </row>
    <row r="126">
      <c r="A126" s="2" t="inlineStr">
        <is>
          <t>12</t>
        </is>
      </c>
      <c r="B126" s="2" t="inlineStr">
        <is>
          <t>Lighting</t>
        </is>
      </c>
      <c r="C126" s="3" t="inlineStr">
        <is>
          <t>Lighting Control System (Lutron)</t>
        </is>
      </c>
      <c r="D126" s="2" t="inlineStr">
        <is>
          <t>5</t>
        </is>
      </c>
      <c r="E126" s="3" t="inlineStr">
        <is>
          <t>2-zone switching power module, 1A</t>
        </is>
      </c>
      <c r="F126" s="3" t="inlineStr">
        <is>
          <t>MEP</t>
        </is>
      </c>
      <c r="G126" s="2" t="inlineStr">
        <is>
          <t>Lutron</t>
        </is>
      </c>
      <c r="H126" s="2" t="inlineStr">
        <is>
          <t>MQSE-2S1-D</t>
        </is>
      </c>
      <c r="I126" s="4" t="n">
        <v>1</v>
      </c>
      <c r="J126" s="2" t="inlineStr">
        <is>
          <t>pc</t>
        </is>
      </c>
      <c r="K126" s="2" t="inlineStr">
        <is>
          <t>Report Pkg Rev5</t>
        </is>
      </c>
      <c r="L126" s="2" t="inlineStr">
        <is>
          <t>complete</t>
        </is>
      </c>
      <c r="M126" s="3" t="n"/>
    </row>
    <row r="127">
      <c r="A127" s="6" t="inlineStr">
        <is>
          <t>12</t>
        </is>
      </c>
      <c r="B127" s="6" t="inlineStr">
        <is>
          <t>Lighting</t>
        </is>
      </c>
      <c r="C127" s="7" t="inlineStr">
        <is>
          <t>Lighting Control System (Lutron)</t>
        </is>
      </c>
      <c r="D127" s="6" t="inlineStr">
        <is>
          <t>9</t>
        </is>
      </c>
      <c r="E127" s="7" t="inlineStr">
        <is>
          <t>Alisse QS keypad mounting base</t>
        </is>
      </c>
      <c r="F127" s="7" t="inlineStr">
        <is>
          <t>Guestroom</t>
        </is>
      </c>
      <c r="G127" s="6" t="inlineStr">
        <is>
          <t>Lutron</t>
        </is>
      </c>
      <c r="H127" s="6" t="inlineStr">
        <is>
          <t>HW-QS-B-S1</t>
        </is>
      </c>
      <c r="I127" s="8" t="n">
        <v>10</v>
      </c>
      <c r="J127" s="6" t="inlineStr">
        <is>
          <t>pc</t>
        </is>
      </c>
      <c r="K127" s="6" t="inlineStr">
        <is>
          <t>Report Pkg Rev5</t>
        </is>
      </c>
      <c r="L127" s="6" t="inlineStr">
        <is>
          <t>complete</t>
        </is>
      </c>
      <c r="M127" s="7" t="n"/>
    </row>
    <row r="128">
      <c r="A128" s="2" t="inlineStr">
        <is>
          <t>13</t>
        </is>
      </c>
      <c r="B128" s="2" t="inlineStr">
        <is>
          <t>HVAC &amp; Mechanical</t>
        </is>
      </c>
      <c r="C128" s="3" t="inlineStr">
        <is>
          <t>Ductwork, Dampers &amp; Insulation</t>
        </is>
      </c>
      <c r="D128" s="2" t="inlineStr">
        <is>
          <t>HVC-05 | —</t>
        </is>
      </c>
      <c r="E128" s="3" t="inlineStr">
        <is>
          <t>Ductwork, volume &amp; fire dampers, duct insulation</t>
        </is>
      </c>
      <c r="F128" s="3" t="inlineStr">
        <is>
          <t>Guestroom</t>
        </is>
      </c>
      <c r="G128" s="2" t="inlineStr">
        <is>
          <t>—</t>
        </is>
      </c>
      <c r="H128" s="2" t="inlineStr">
        <is>
          <t>—</t>
        </is>
      </c>
      <c r="I128" s="4" t="n">
        <v>1</v>
      </c>
      <c r="J128" s="2" t="inlineStr">
        <is>
          <t>lot</t>
        </is>
      </c>
      <c r="K128" s="2" t="inlineStr">
        <is>
          <t>GP1-AC-02/03</t>
        </is>
      </c>
      <c r="L128" s="2" t="inlineStr">
        <is>
          <t>not_started</t>
        </is>
      </c>
      <c r="M128" s="3" t="inlineStr">
        <is>
          <t>Sizes per AC-1: 18x12 supply to roof; 24x16 &amp; 12x8 returns; 8x8/8x6/6x6/6x4 branches; 6x4 exhaust to roof cap. Details AC-02/03: turning vanes, volume/splitter/balancing dampers, flex-duct support, strap hangers.</t>
        </is>
      </c>
    </row>
    <row r="129">
      <c r="A129" s="6" t="inlineStr">
        <is>
          <t>13</t>
        </is>
      </c>
      <c r="B129" s="6" t="inlineStr">
        <is>
          <t>HVAC &amp; Mechanical</t>
        </is>
      </c>
      <c r="C129" s="7" t="inlineStr">
        <is>
          <t>Refrigerant Piping</t>
        </is>
      </c>
      <c r="D129" s="6" t="inlineStr">
        <is>
          <t>HVC-06 | —</t>
        </is>
      </c>
      <c r="E129" s="7" t="inlineStr">
        <is>
          <t>Insulated refrigerant copper piping &amp; accessories</t>
        </is>
      </c>
      <c r="F129" s="7" t="inlineStr">
        <is>
          <t>FCU-GP1R to CU-GP1R</t>
        </is>
      </c>
      <c r="G129" s="6" t="inlineStr">
        <is>
          <t>—</t>
        </is>
      </c>
      <c r="H129" s="6" t="inlineStr">
        <is>
          <t>—</t>
        </is>
      </c>
      <c r="I129" s="8" t="n">
        <v>1</v>
      </c>
      <c r="J129" s="6" t="inlineStr">
        <is>
          <t>lot</t>
        </is>
      </c>
      <c r="K129" s="6" t="inlineStr">
        <is>
          <t>GP1-AC-01/02</t>
        </is>
      </c>
      <c r="L129" s="6" t="inlineStr">
        <is>
          <t>not_started</t>
        </is>
      </c>
      <c r="M129" s="7" t="inlineStr">
        <is>
          <t>Line sizes per AC-01: 5/8" suction / 3/8" liquid, R410A. Underground runs in PVC sleeves (AC-1 note). Supports per AC-03 details.</t>
        </is>
      </c>
    </row>
  </sheetData>
  <autoFilter ref="A1:M129"/>
  <pageMargins left="0.75" right="0.75" top="1" bottom="1" header="0.5" footer="0.5"/>
  <pageSetup orientation="landscape" fitToWidth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2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00" customWidth="1" min="2" max="2"/>
  </cols>
  <sheetData>
    <row r="1">
      <c r="A1" s="15" t="inlineStr">
        <is>
          <t>GP1-MUR Material Register</t>
        </is>
      </c>
      <c r="B1" s="16" t="inlineStr"/>
    </row>
    <row r="2">
      <c r="A2" s="17" t="inlineStr"/>
      <c r="B2" s="16" t="inlineStr"/>
    </row>
    <row r="3">
      <c r="A3" s="17" t="inlineStr">
        <is>
          <t>Exported</t>
        </is>
      </c>
      <c r="B3" s="16" t="inlineStr">
        <is>
          <t>2026-09-08 15:54 UTC</t>
        </is>
      </c>
    </row>
    <row r="4">
      <c r="A4" s="17" t="inlineStr">
        <is>
          <t>Source</t>
        </is>
      </c>
      <c r="B4" s="16" t="inlineStr">
        <is>
          <t>Supabase project iygkonfuyslvgezgofby, schema gp1</t>
        </is>
      </c>
    </row>
    <row r="5">
      <c r="A5" s="17" t="inlineStr">
        <is>
          <t>Tables</t>
        </is>
      </c>
      <c r="B5" s="16" t="inlineStr">
        <is>
          <t>gp1.register_item (199 rows) and the view gp1.register_coverage</t>
        </is>
      </c>
    </row>
    <row r="6">
      <c r="A6" s="17" t="inlineStr">
        <is>
          <t>Read as</t>
        </is>
      </c>
      <c r="B6" s="16" t="inlineStr">
        <is>
          <t>anon over PostgREST - anything row level security hides is not here</t>
        </is>
      </c>
    </row>
    <row r="7">
      <c r="A7" s="17" t="inlineStr">
        <is>
          <t>Rows last touched</t>
        </is>
      </c>
      <c r="B7" s="16" t="inlineStr">
        <is>
          <t>2026-09-07 17:15:16 UTC</t>
        </is>
      </c>
    </row>
    <row r="8">
      <c r="A8" s="17" t="inlineStr"/>
      <c r="B8" s="16" t="inlineStr"/>
    </row>
    <row r="9">
      <c r="A9" s="17" t="inlineStr">
        <is>
          <t>Sheets</t>
        </is>
      </c>
      <c r="B9" s="16" t="inlineStr"/>
    </row>
    <row r="10">
      <c r="A10" s="17" t="inlineStr">
        <is>
          <t xml:space="preserve">  Register</t>
        </is>
      </c>
      <c r="B10" s="16" t="inlineStr">
        <is>
          <t>Every row and every column of gp1.register_item, ordered by discipline then seq. Filters on, header frozen.</t>
        </is>
      </c>
    </row>
    <row r="11">
      <c r="A11" s="17" t="inlineStr">
        <is>
          <t xml:space="preserve">  Coverage</t>
        </is>
      </c>
      <c r="B11" s="16" t="inlineStr">
        <is>
          <t>Documentation coverage per discipline. The numbers are COUNTIFS over the Register sheet, so they follow your edits.</t>
        </is>
      </c>
    </row>
    <row r="12">
      <c r="A12" s="17" t="inlineStr">
        <is>
          <t xml:space="preserve">  Gaps</t>
        </is>
      </c>
      <c r="B12" s="16" t="inlineStr">
        <is>
          <t>The 128 items with neither a spec URL nor a folder URL - the work list.</t>
        </is>
      </c>
    </row>
    <row r="13">
      <c r="A13" s="17" t="inlineStr"/>
      <c r="B13" s="16" t="inlineStr"/>
    </row>
    <row r="14">
      <c r="A14" s="17" t="inlineStr">
        <is>
          <t>Reading the data</t>
        </is>
      </c>
      <c r="B14" s="16" t="inlineStr"/>
    </row>
    <row r="15">
      <c r="A15" s="17" t="inlineStr">
        <is>
          <t xml:space="preserve">  Documented</t>
        </is>
      </c>
      <c r="B15" s="16" t="inlineStr">
        <is>
          <t>spec_url or folder_url is set. Nothing carries a folder_url yet, so today documented means has a datasheet.</t>
        </is>
      </c>
    </row>
    <row r="16">
      <c r="A16" s="17" t="inlineStr">
        <is>
          <t xml:space="preserve">  Code</t>
        </is>
      </c>
      <c r="B16" s="16" t="inlineStr">
        <is>
          <t>code_tag is verbatim from the source workbook and is NOT unique - Cable appears 8 times. The uuid is the identity.</t>
        </is>
      </c>
    </row>
    <row r="17">
      <c r="A17" s="17" t="inlineStr">
        <is>
          <t xml:space="preserve">  Qty (raw)</t>
        </is>
      </c>
      <c r="B17" s="16" t="inlineStr">
        <is>
          <t>Holds the original text when a quantity would not parse as a number. Empty across the board right now.</t>
        </is>
      </c>
    </row>
    <row r="18">
      <c r="A18" s="17" t="inlineStr">
        <is>
          <t xml:space="preserve">  Spec status</t>
        </is>
      </c>
      <c r="B18" s="16" t="inlineStr">
        <is>
          <t>complete / in_progress / not_started / unknown</t>
        </is>
      </c>
    </row>
    <row r="19">
      <c r="A19" s="17" t="inlineStr">
        <is>
          <t xml:space="preserve">  Approved</t>
        </is>
      </c>
      <c r="B19" s="16" t="inlineStr">
        <is>
          <t>not_started / submitted / approved / rejected / unknown</t>
        </is>
      </c>
    </row>
    <row r="20">
      <c r="A20" s="17" t="inlineStr">
        <is>
          <t xml:space="preserve">  Procured</t>
        </is>
      </c>
      <c r="B20" s="16" t="inlineStr">
        <is>
          <t>not_started / quoted / ordered / delivered / installed / unknown</t>
        </is>
      </c>
    </row>
    <row r="21">
      <c r="A21" s="17" t="inlineStr"/>
      <c r="B21" s="16" t="inlineStr"/>
    </row>
    <row r="22">
      <c r="A22" s="17" t="inlineStr">
        <is>
          <t>Round trip</t>
        </is>
      </c>
      <c r="B22" s="16" t="inlineStr">
        <is>
          <t>This is an export, not a link. Editing here does not change the database - the register app writes back, or re-import.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gp1 register export</dc:creator>
  <dc:title>GP1-MUR Material Register</dc:title>
  <dcterms:created xsi:type="dcterms:W3CDTF">2026-09-08T15:54:25Z</dcterms:created>
  <dcterms:modified xsi:type="dcterms:W3CDTF">2026-09-08T15:54:25Z</dcterms:modified>
</cp:coreProperties>
</file>